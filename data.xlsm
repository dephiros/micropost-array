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\Dropbox\Education\Programing\VBA\Micropost\sourcecode\"/>
    </mc:Choice>
  </mc:AlternateContent>
  <bookViews>
    <workbookView xWindow="1032" yWindow="36" windowWidth="8820" windowHeight="7128" activeTab="1"/>
  </bookViews>
  <sheets>
    <sheet name="base" sheetId="400" r:id="rId1"/>
    <sheet name="Sheet4" sheetId="419" r:id="rId2"/>
    <sheet name="Sheet3" sheetId="418" r:id="rId3"/>
    <sheet name="Sheet2" sheetId="417" r:id="rId4"/>
    <sheet name="result" sheetId="416" r:id="rId5"/>
    <sheet name="top" sheetId="399" r:id="rId6"/>
    <sheet name="top_2" sheetId="398" r:id="rId7"/>
  </sheets>
  <functionGroups builtInGroupCount="18"/>
  <definedNames>
    <definedName name="Anglebase">base!$I$2:$I$21</definedName>
    <definedName name="Angletop">top!$I$2:$I$27</definedName>
    <definedName name="Areabase">base!$B$2:$B$21</definedName>
    <definedName name="Areatop">top!$B$2:$B$27</definedName>
    <definedName name="base">base!$A$2:$A$21</definedName>
    <definedName name="Majorbase">base!$G$2:$G$21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ase">base!$H$2:$H$21</definedName>
    <definedName name="Minortop">top!$H$2:$H$27</definedName>
    <definedName name="Mintop">top!$C$2:$C$27</definedName>
    <definedName name="top">top!$A$2:$A$27</definedName>
    <definedName name="Xbase">base!$E$2:$E$21</definedName>
    <definedName name="Xtop">top!$E$2:$E$27</definedName>
    <definedName name="Ybase">base!$F$2:$F$21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6" l="1"/>
  <c r="F3" i="416"/>
  <c r="F4" i="416"/>
  <c r="F5" i="416"/>
  <c r="F6" i="416"/>
  <c r="F7" i="416"/>
  <c r="F8" i="416"/>
  <c r="F9" i="416"/>
  <c r="F10" i="416"/>
  <c r="F11" i="416"/>
  <c r="F12" i="416"/>
  <c r="F13" i="416"/>
  <c r="F14" i="416"/>
  <c r="F15" i="416"/>
  <c r="F16" i="416"/>
  <c r="F17" i="416"/>
  <c r="F18" i="416"/>
  <c r="F19" i="416"/>
  <c r="F20" i="416"/>
  <c r="F21" i="416"/>
  <c r="E2" i="416"/>
  <c r="E3" i="416"/>
  <c r="E4" i="416"/>
  <c r="E5" i="416"/>
  <c r="E6" i="416"/>
  <c r="E7" i="416"/>
  <c r="E8" i="416"/>
  <c r="E9" i="416"/>
  <c r="E10" i="416"/>
  <c r="E11" i="416"/>
  <c r="E12" i="416"/>
  <c r="E13" i="416"/>
  <c r="E14" i="416"/>
  <c r="E15" i="416"/>
  <c r="E16" i="416"/>
  <c r="E17" i="416"/>
  <c r="E18" i="416"/>
  <c r="E19" i="416"/>
  <c r="E20" i="416"/>
  <c r="E21" i="416"/>
  <c r="S2" i="416"/>
  <c r="S3" i="416"/>
  <c r="S4" i="416"/>
  <c r="S5" i="416"/>
  <c r="S6" i="416"/>
  <c r="S7" i="416"/>
  <c r="S8" i="416"/>
  <c r="S9" i="416"/>
  <c r="S10" i="416"/>
  <c r="S11" i="416"/>
  <c r="S12" i="416"/>
  <c r="S13" i="416"/>
  <c r="S14" i="416"/>
  <c r="S15" i="416"/>
  <c r="S16" i="416"/>
  <c r="S17" i="416"/>
  <c r="S18" i="416"/>
  <c r="S19" i="416"/>
  <c r="S20" i="416"/>
  <c r="S21" i="416"/>
  <c r="R2" i="416"/>
  <c r="R3" i="416"/>
  <c r="R4" i="416"/>
  <c r="R5" i="416"/>
  <c r="R6" i="416"/>
  <c r="R7" i="416"/>
  <c r="R8" i="416"/>
  <c r="R9" i="416"/>
  <c r="R10" i="416"/>
  <c r="R11" i="416"/>
  <c r="R12" i="416"/>
  <c r="R13" i="416"/>
  <c r="R14" i="416"/>
  <c r="R15" i="416"/>
  <c r="R16" i="416"/>
  <c r="R17" i="416"/>
  <c r="R18" i="416"/>
  <c r="R19" i="416"/>
  <c r="R20" i="416"/>
  <c r="R21" i="416"/>
  <c r="Q2" i="416"/>
  <c r="Q3" i="416"/>
  <c r="Q4" i="416"/>
  <c r="Q5" i="416"/>
  <c r="Q6" i="416"/>
  <c r="Q7" i="416"/>
  <c r="Q8" i="416"/>
  <c r="Q9" i="416"/>
  <c r="Q10" i="416"/>
  <c r="Q11" i="416"/>
  <c r="Q12" i="416"/>
  <c r="Q13" i="416"/>
  <c r="Q14" i="416"/>
  <c r="Q15" i="416"/>
  <c r="Q16" i="416"/>
  <c r="Q17" i="416"/>
  <c r="Q18" i="416"/>
  <c r="Q19" i="416"/>
  <c r="Q20" i="416"/>
  <c r="Q21" i="416"/>
  <c r="P2" i="416"/>
  <c r="P3" i="416"/>
  <c r="P4" i="416"/>
  <c r="P5" i="416"/>
  <c r="P6" i="416"/>
  <c r="P7" i="416"/>
  <c r="P8" i="416"/>
  <c r="P9" i="416"/>
  <c r="P10" i="416"/>
  <c r="P11" i="416"/>
  <c r="P12" i="416"/>
  <c r="P13" i="416"/>
  <c r="P14" i="416"/>
  <c r="P15" i="416"/>
  <c r="P16" i="416"/>
  <c r="P17" i="416"/>
  <c r="P18" i="416"/>
  <c r="P19" i="416"/>
  <c r="P20" i="416"/>
  <c r="P21" i="416"/>
  <c r="O2" i="416"/>
  <c r="O3" i="416"/>
  <c r="O4" i="416"/>
  <c r="O5" i="416"/>
  <c r="O6" i="416"/>
  <c r="O7" i="416"/>
  <c r="O8" i="416"/>
  <c r="O9" i="416"/>
  <c r="O10" i="416"/>
  <c r="O11" i="416"/>
  <c r="O12" i="416"/>
  <c r="O13" i="416"/>
  <c r="O14" i="416"/>
  <c r="O15" i="416"/>
  <c r="O16" i="416"/>
  <c r="O17" i="416"/>
  <c r="O18" i="416"/>
  <c r="O19" i="416"/>
  <c r="O20" i="416"/>
  <c r="O21" i="416"/>
  <c r="N2" i="416"/>
  <c r="N3" i="416"/>
  <c r="N4" i="416"/>
  <c r="N5" i="416"/>
  <c r="N6" i="416"/>
  <c r="N7" i="416"/>
  <c r="N8" i="416"/>
  <c r="N9" i="416"/>
  <c r="N10" i="416"/>
  <c r="N11" i="416"/>
  <c r="N12" i="416"/>
  <c r="N13" i="416"/>
  <c r="N14" i="416"/>
  <c r="N15" i="416"/>
  <c r="N16" i="416"/>
  <c r="N17" i="416"/>
  <c r="N18" i="416"/>
  <c r="N19" i="416"/>
  <c r="N20" i="416"/>
  <c r="N21" i="416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<sst xmlns="http://schemas.openxmlformats.org/spreadsheetml/2006/main" count="45" uniqueCount="27">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</sst>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63.947000000000003</c:v>
                </c:pt>
                <c:pt idx="1">
                  <c:v>65.189000000000007</c:v>
                </c:pt>
                <c:pt idx="3">
                  <c:v>31.547000000000001</c:v>
                </c:pt>
                <c:pt idx="4">
                  <c:v>32.168000000000006</c:v>
                </c:pt>
                <c:pt idx="6">
                  <c:v>125.01</c:v>
                </c:pt>
                <c:pt idx="7">
                  <c:v>112.64099999999999</c:v>
                </c:pt>
                <c:pt idx="9">
                  <c:v>97.796000000000006</c:v>
                </c:pt>
                <c:pt idx="10">
                  <c:v>105.554</c:v>
                </c:pt>
                <c:pt idx="12">
                  <c:v>109.783</c:v>
                </c:pt>
                <c:pt idx="13">
                  <c:v>94.251999999999981</c:v>
                </c:pt>
                <c:pt idx="15">
                  <c:v>47.982999999999997</c:v>
                </c:pt>
                <c:pt idx="16">
                  <c:v>48.88300000000001</c:v>
                </c:pt>
                <c:pt idx="18">
                  <c:v>15.929</c:v>
                </c:pt>
                <c:pt idx="19">
                  <c:v>16.366999999999997</c:v>
                </c:pt>
                <c:pt idx="21">
                  <c:v>82.682000000000002</c:v>
                </c:pt>
                <c:pt idx="22">
                  <c:v>97.298000000000002</c:v>
                </c:pt>
                <c:pt idx="24">
                  <c:v>94.171000000000006</c:v>
                </c:pt>
                <c:pt idx="25">
                  <c:v>90.046000000000006</c:v>
                </c:pt>
                <c:pt idx="27">
                  <c:v>126.63200000000001</c:v>
                </c:pt>
                <c:pt idx="28">
                  <c:v>127.80499999999998</c:v>
                </c:pt>
                <c:pt idx="30">
                  <c:v>32.027000000000001</c:v>
                </c:pt>
                <c:pt idx="31">
                  <c:v>33.380000000000003</c:v>
                </c:pt>
                <c:pt idx="33">
                  <c:v>65.11</c:v>
                </c:pt>
                <c:pt idx="34">
                  <c:v>85.266999999999982</c:v>
                </c:pt>
                <c:pt idx="36">
                  <c:v>109.29</c:v>
                </c:pt>
                <c:pt idx="37">
                  <c:v>100.22399999999999</c:v>
                </c:pt>
                <c:pt idx="39">
                  <c:v>79.605999999999995</c:v>
                </c:pt>
                <c:pt idx="40">
                  <c:v>78.310000000000031</c:v>
                </c:pt>
                <c:pt idx="42">
                  <c:v>48.317999999999998</c:v>
                </c:pt>
                <c:pt idx="43">
                  <c:v>47.865000000000009</c:v>
                </c:pt>
                <c:pt idx="45">
                  <c:v>17.579999999999998</c:v>
                </c:pt>
                <c:pt idx="46">
                  <c:v>29.547000000000001</c:v>
                </c:pt>
                <c:pt idx="48">
                  <c:v>95.41</c:v>
                </c:pt>
                <c:pt idx="49">
                  <c:v>89.24799999999999</c:v>
                </c:pt>
                <c:pt idx="51">
                  <c:v>64.513999999999996</c:v>
                </c:pt>
                <c:pt idx="52">
                  <c:v>63.655999999999992</c:v>
                </c:pt>
                <c:pt idx="54">
                  <c:v>32.886000000000003</c:v>
                </c:pt>
                <c:pt idx="55">
                  <c:v>38.066999999999993</c:v>
                </c:pt>
                <c:pt idx="57">
                  <c:v>125.932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120.053</c:v>
                </c:pt>
                <c:pt idx="1">
                  <c:v>121.71199999999999</c:v>
                </c:pt>
                <c:pt idx="3">
                  <c:v>119.232</c:v>
                </c:pt>
                <c:pt idx="4">
                  <c:v>121.02900000000001</c:v>
                </c:pt>
                <c:pt idx="6">
                  <c:v>120.036</c:v>
                </c:pt>
                <c:pt idx="7">
                  <c:v>115.089</c:v>
                </c:pt>
                <c:pt idx="9">
                  <c:v>117.184</c:v>
                </c:pt>
                <c:pt idx="10">
                  <c:v>95.66200000000002</c:v>
                </c:pt>
                <c:pt idx="12">
                  <c:v>94.256</c:v>
                </c:pt>
                <c:pt idx="13">
                  <c:v>94.252999999999986</c:v>
                </c:pt>
                <c:pt idx="15">
                  <c:v>93.194000000000003</c:v>
                </c:pt>
                <c:pt idx="16">
                  <c:v>95.045000000000016</c:v>
                </c:pt>
                <c:pt idx="18">
                  <c:v>92.397000000000006</c:v>
                </c:pt>
                <c:pt idx="19">
                  <c:v>94.566000000000003</c:v>
                </c:pt>
                <c:pt idx="21">
                  <c:v>93.212000000000003</c:v>
                </c:pt>
                <c:pt idx="22">
                  <c:v>88.789999999999992</c:v>
                </c:pt>
                <c:pt idx="24">
                  <c:v>68.346000000000004</c:v>
                </c:pt>
                <c:pt idx="25">
                  <c:v>71.045999999999978</c:v>
                </c:pt>
                <c:pt idx="27">
                  <c:v>67.897000000000006</c:v>
                </c:pt>
                <c:pt idx="28">
                  <c:v>70.111000000000004</c:v>
                </c:pt>
                <c:pt idx="30">
                  <c:v>65.957999999999998</c:v>
                </c:pt>
                <c:pt idx="31">
                  <c:v>67.76400000000001</c:v>
                </c:pt>
                <c:pt idx="33">
                  <c:v>66.436000000000007</c:v>
                </c:pt>
                <c:pt idx="34">
                  <c:v>61.938999999999979</c:v>
                </c:pt>
                <c:pt idx="36">
                  <c:v>42.423000000000002</c:v>
                </c:pt>
                <c:pt idx="37">
                  <c:v>46.887</c:v>
                </c:pt>
                <c:pt idx="39">
                  <c:v>41.566000000000003</c:v>
                </c:pt>
                <c:pt idx="40">
                  <c:v>46.758999999999986</c:v>
                </c:pt>
                <c:pt idx="42">
                  <c:v>39.755000000000003</c:v>
                </c:pt>
                <c:pt idx="43">
                  <c:v>40.234999999999992</c:v>
                </c:pt>
                <c:pt idx="45">
                  <c:v>38.246000000000002</c:v>
                </c:pt>
                <c:pt idx="46">
                  <c:v>31.801999999999992</c:v>
                </c:pt>
                <c:pt idx="48">
                  <c:v>16.314</c:v>
                </c:pt>
                <c:pt idx="49">
                  <c:v>23.147999999999996</c:v>
                </c:pt>
                <c:pt idx="51">
                  <c:v>14.202</c:v>
                </c:pt>
                <c:pt idx="52">
                  <c:v>20.835000000000001</c:v>
                </c:pt>
                <c:pt idx="54">
                  <c:v>13.475</c:v>
                </c:pt>
                <c:pt idx="55">
                  <c:v>21.475999999999999</c:v>
                </c:pt>
                <c:pt idx="57">
                  <c:v>15.515000000000001</c:v>
                </c:pt>
                <c:pt idx="58">
                  <c:v>16.112000000000002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702320"/>
        <c:axId val="195794080"/>
      </c:scatterChart>
      <c:valAx>
        <c:axId val="265702320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95794080"/>
        <c:crosses val="autoZero"/>
        <c:crossBetween val="midCat"/>
      </c:valAx>
      <c:valAx>
        <c:axId val="1957940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702320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sourcecode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>
      <selection sqref="A1:I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 x14ac:dyDescent="0.3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 x14ac:dyDescent="0.3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 x14ac:dyDescent="0.3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 x14ac:dyDescent="0.3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 x14ac:dyDescent="0.3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 x14ac:dyDescent="0.3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 x14ac:dyDescent="0.3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 x14ac:dyDescent="0.3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 x14ac:dyDescent="0.3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 x14ac:dyDescent="0.3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 x14ac:dyDescent="0.3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 x14ac:dyDescent="0.3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 x14ac:dyDescent="0.3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 x14ac:dyDescent="0.3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 x14ac:dyDescent="0.3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 x14ac:dyDescent="0.3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 x14ac:dyDescent="0.3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 x14ac:dyDescent="0.3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 x14ac:dyDescent="0.3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1"/>
  <sheetViews>
    <sheetView topLeftCell="K1" workbookViewId="0"/>
  </sheetViews>
  <sheetFormatPr defaultRowHeight="14.4" x14ac:dyDescent="0.3"/>
  <sheetData>
    <row r="1" spans="1:22" x14ac:dyDescent="0.3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 x14ac:dyDescent="0.3">
      <c r="A2">
        <v>64.361000000000004</v>
      </c>
      <c r="B2">
        <v>2.4788908064146402</v>
      </c>
      <c r="C2">
        <v>64.361000000000004</v>
      </c>
      <c r="D2">
        <v>120.60599999999999</v>
      </c>
      <c r="E2" t="e">
        <f>XB + (XT - XB) *3</f>
        <v>#NAME?</v>
      </c>
      <c r="F2" t="e">
        <f>YB + (YT - YB) *3</f>
        <v>#NAME?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 t="e">
        <f>SQRT((XT - XB)^2 + (YT - YB)^2)</f>
        <v>#NAME?</v>
      </c>
      <c r="O2" t="e">
        <f>ATAN((YT - YB) / (XT - XB))</f>
        <v>#NAME?</v>
      </c>
      <c r="P2" t="e">
        <f>((3*PI()*750*250) * MajorB * MinorB* ((MajorB^2)*(COS(Theta)^2) + (MinorB^2)*(SIN(Theta)^2)))</f>
        <v>#NAME?</v>
      </c>
      <c r="Q2" t="e">
        <f>(((4 *0.964285714285714*250* (7^3)) + 3 *750*7*((MajorB^2)*(COS(Theta)^2) + (MinorB^2)*(SIN(Theta)^2))))</f>
        <v>#NAME?</v>
      </c>
      <c r="R2" t="e">
        <f>kn/kd</f>
        <v>#NAME?</v>
      </c>
      <c r="S2" t="e">
        <f>k*Displacement</f>
        <v>#NAME?</v>
      </c>
      <c r="T2">
        <v>0</v>
      </c>
      <c r="U2">
        <v>63.947000000000003</v>
      </c>
      <c r="V2">
        <v>120.053</v>
      </c>
    </row>
    <row r="3" spans="1:22" x14ac:dyDescent="0.3">
      <c r="A3">
        <v>64.361000000000004</v>
      </c>
      <c r="B3">
        <v>2.5159661589018505</v>
      </c>
      <c r="C3">
        <v>31.754000000000001</v>
      </c>
      <c r="D3">
        <v>119.831</v>
      </c>
      <c r="E3" t="e">
        <f>XB + (XT - XB) *3</f>
        <v>#NAME?</v>
      </c>
      <c r="F3" t="e">
        <f>YB + (YT - YB) *3</f>
        <v>#NAME?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 t="e">
        <f>SQRT((XT - XB)^2 + (YT - YB)^2)</f>
        <v>#NAME?</v>
      </c>
      <c r="O3" t="e">
        <f>ATAN((YT - YB) / (XT - XB))</f>
        <v>#NAME?</v>
      </c>
      <c r="P3" t="e">
        <f>((3*PI()*750*250) * MajorB * MinorB* ((MajorB^2)*(COS(Theta)^2) + (MinorB^2)*(SIN(Theta)^2)))</f>
        <v>#NAME?</v>
      </c>
      <c r="Q3" t="e">
        <f>(((4 *0.964285714285714*250* (7^3)) + 3 *750*7*((MajorB^2)*(COS(Theta)^2) + (MinorB^2)*(SIN(Theta)^2))))</f>
        <v>#NAME?</v>
      </c>
      <c r="R3" t="e">
        <f>kn/kd</f>
        <v>#NAME?</v>
      </c>
      <c r="S3" t="e">
        <f>k*Displacement</f>
        <v>#NAME?</v>
      </c>
      <c r="T3">
        <v>0</v>
      </c>
      <c r="U3">
        <v>65.189000000000007</v>
      </c>
      <c r="V3">
        <v>121.71199999999999</v>
      </c>
    </row>
    <row r="4" spans="1:22" x14ac:dyDescent="0.3">
      <c r="A4">
        <v>64.361000000000004</v>
      </c>
      <c r="B4">
        <v>1.5538055658595245</v>
      </c>
      <c r="C4">
        <v>120.887</v>
      </c>
      <c r="D4">
        <v>118.387</v>
      </c>
      <c r="E4" t="e">
        <f>XB + (XT - XB) *3</f>
        <v>#NAME?</v>
      </c>
      <c r="F4" t="e">
        <f>YB + (YT - YB) *3</f>
        <v>#NAME?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 t="e">
        <f>SQRT((XT - XB)^2 + (YT - YB)^2)</f>
        <v>#NAME?</v>
      </c>
      <c r="O4" t="e">
        <f>ATAN((YT - YB) / (XT - XB))</f>
        <v>#NAME?</v>
      </c>
      <c r="P4" t="e">
        <f>((3*PI()*750*250) * MajorB * MinorB* ((MajorB^2)*(COS(Theta)^2) + (MinorB^2)*(SIN(Theta)^2)))</f>
        <v>#NAME?</v>
      </c>
      <c r="Q4" t="e">
        <f>(((4 *0.964285714285714*250* (7^3)) + 3 *750*7*((MajorB^2)*(COS(Theta)^2) + (MinorB^2)*(SIN(Theta)^2))))</f>
        <v>#NAME?</v>
      </c>
      <c r="R4" t="e">
        <f>kn/kd</f>
        <v>#NAME?</v>
      </c>
      <c r="S4" t="e">
        <f>k*Displacement</f>
        <v>#NAME?</v>
      </c>
      <c r="T4">
        <v>0</v>
      </c>
    </row>
    <row r="5" spans="1:22" x14ac:dyDescent="0.3">
      <c r="A5">
        <v>64.361000000000004</v>
      </c>
      <c r="B5">
        <v>1.4829688235453458</v>
      </c>
      <c r="C5">
        <v>100.38200000000001</v>
      </c>
      <c r="D5">
        <v>110.01</v>
      </c>
      <c r="E5" t="e">
        <f>XB + (XT - XB) *3</f>
        <v>#NAME?</v>
      </c>
      <c r="F5" t="e">
        <f>YB + (YT - YB) *3</f>
        <v>#NAME?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 t="e">
        <f>SQRT((XT - XB)^2 + (YT - YB)^2)</f>
        <v>#NAME?</v>
      </c>
      <c r="O5" t="e">
        <f>ATAN((YT - YB) / (XT - XB))</f>
        <v>#NAME?</v>
      </c>
      <c r="P5" t="e">
        <f>((3*PI()*750*250) * MajorB * MinorB* ((MajorB^2)*(COS(Theta)^2) + (MinorB^2)*(SIN(Theta)^2)))</f>
        <v>#NAME?</v>
      </c>
      <c r="Q5" t="e">
        <f>(((4 *0.964285714285714*250* (7^3)) + 3 *750*7*((MajorB^2)*(COS(Theta)^2) + (MinorB^2)*(SIN(Theta)^2))))</f>
        <v>#NAME?</v>
      </c>
      <c r="R5" t="e">
        <f>kn/kd</f>
        <v>#NAME?</v>
      </c>
      <c r="S5" t="e">
        <f>k*Displacement</f>
        <v>#NAME?</v>
      </c>
      <c r="T5">
        <v>1</v>
      </c>
      <c r="U5">
        <v>31.547000000000001</v>
      </c>
      <c r="V5">
        <v>119.232</v>
      </c>
    </row>
    <row r="6" spans="1:22" x14ac:dyDescent="0.3">
      <c r="A6">
        <v>64.361000000000004</v>
      </c>
      <c r="B6">
        <v>1.3257118606833838</v>
      </c>
      <c r="C6">
        <v>104.60599999999999</v>
      </c>
      <c r="D6">
        <v>94.254999999999995</v>
      </c>
      <c r="E6" t="e">
        <f>XB + (XT - XB) *3</f>
        <v>#NAME?</v>
      </c>
      <c r="F6" t="e">
        <f>YB + (YT - YB) *3</f>
        <v>#NAME?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 t="e">
        <f>SQRT((XT - XB)^2 + (YT - YB)^2)</f>
        <v>#NAME?</v>
      </c>
      <c r="O6" t="e">
        <f>ATAN((YT - YB) / (XT - XB))</f>
        <v>#NAME?</v>
      </c>
      <c r="P6" t="e">
        <f>((3*PI()*750*250) * MajorB * MinorB* ((MajorB^2)*(COS(Theta)^2) + (MinorB^2)*(SIN(Theta)^2)))</f>
        <v>#NAME?</v>
      </c>
      <c r="Q6" t="e">
        <f>(((4 *0.964285714285714*250* (7^3)) + 3 *750*7*((MajorB^2)*(COS(Theta)^2) + (MinorB^2)*(SIN(Theta)^2))))</f>
        <v>#NAME?</v>
      </c>
      <c r="R6" t="e">
        <f>kn/kd</f>
        <v>#NAME?</v>
      </c>
      <c r="S6" t="e">
        <f>k*Displacement</f>
        <v>#NAME?</v>
      </c>
      <c r="T6">
        <v>1</v>
      </c>
      <c r="U6">
        <v>32.168000000000006</v>
      </c>
      <c r="V6">
        <v>121.02900000000001</v>
      </c>
    </row>
    <row r="7" spans="1:22" x14ac:dyDescent="0.3">
      <c r="A7">
        <v>64.361000000000004</v>
      </c>
      <c r="B7">
        <v>2.5964293487597296</v>
      </c>
      <c r="C7">
        <v>48.283000000000001</v>
      </c>
      <c r="D7">
        <v>93.811000000000007</v>
      </c>
      <c r="E7" t="e">
        <f>XB + (XT - XB) *3</f>
        <v>#NAME?</v>
      </c>
      <c r="F7" t="e">
        <f>YB + (YT - YB) *3</f>
        <v>#NAME?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 t="e">
        <f>SQRT((XT - XB)^2 + (YT - YB)^2)</f>
        <v>#NAME?</v>
      </c>
      <c r="O7" t="e">
        <f>ATAN((YT - YB) / (XT - XB))</f>
        <v>#NAME?</v>
      </c>
      <c r="P7" t="e">
        <f>((3*PI()*750*250) * MajorB * MinorB* ((MajorB^2)*(COS(Theta)^2) + (MinorB^2)*(SIN(Theta)^2)))</f>
        <v>#NAME?</v>
      </c>
      <c r="Q7" t="e">
        <f>(((4 *0.964285714285714*250* (7^3)) + 3 *750*7*((MajorB^2)*(COS(Theta)^2) + (MinorB^2)*(SIN(Theta)^2))))</f>
        <v>#NAME?</v>
      </c>
      <c r="R7" t="e">
        <f>kn/kd</f>
        <v>#NAME?</v>
      </c>
      <c r="S7" t="e">
        <f>k*Displacement</f>
        <v>#NAME?</v>
      </c>
      <c r="T7">
        <v>1</v>
      </c>
    </row>
    <row r="8" spans="1:22" x14ac:dyDescent="0.3">
      <c r="A8">
        <v>64.361000000000004</v>
      </c>
      <c r="B8">
        <v>2.4845188106111551</v>
      </c>
      <c r="C8">
        <v>16.074999999999999</v>
      </c>
      <c r="D8">
        <v>93.12</v>
      </c>
      <c r="E8" t="e">
        <f>XB + (XT - XB) *3</f>
        <v>#NAME?</v>
      </c>
      <c r="F8" t="e">
        <f>YB + (YT - YB) *3</f>
        <v>#NAME?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 t="e">
        <f>SQRT((XT - XB)^2 + (YT - YB)^2)</f>
        <v>#NAME?</v>
      </c>
      <c r="O8" t="e">
        <f>ATAN((YT - YB) / (XT - XB))</f>
        <v>#NAME?</v>
      </c>
      <c r="P8" t="e">
        <f>((3*PI()*750*250) * MajorB * MinorB* ((MajorB^2)*(COS(Theta)^2) + (MinorB^2)*(SIN(Theta)^2)))</f>
        <v>#NAME?</v>
      </c>
      <c r="Q8" t="e">
        <f>(((4 *0.964285714285714*250* (7^3)) + 3 *750*7*((MajorB^2)*(COS(Theta)^2) + (MinorB^2)*(SIN(Theta)^2))))</f>
        <v>#NAME?</v>
      </c>
      <c r="R8" t="e">
        <f>kn/kd</f>
        <v>#NAME?</v>
      </c>
      <c r="S8" t="e">
        <f>k*Displacement</f>
        <v>#NAME?</v>
      </c>
      <c r="T8">
        <v>2</v>
      </c>
      <c r="U8">
        <v>125.01</v>
      </c>
      <c r="V8">
        <v>120.036</v>
      </c>
    </row>
    <row r="9" spans="1:22" x14ac:dyDescent="0.3">
      <c r="A9">
        <v>64.361000000000004</v>
      </c>
      <c r="B9">
        <v>1.7757475168895667</v>
      </c>
      <c r="C9">
        <v>87.554000000000002</v>
      </c>
      <c r="D9">
        <v>91.738</v>
      </c>
      <c r="E9" t="e">
        <f>XB + (XT - XB) *3</f>
        <v>#NAME?</v>
      </c>
      <c r="F9" t="e">
        <f>YB + (YT - YB) *3</f>
        <v>#NAME?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 t="e">
        <f>SQRT((XT - XB)^2 + (YT - YB)^2)</f>
        <v>#NAME?</v>
      </c>
      <c r="O9" t="e">
        <f>ATAN((YT - YB) / (XT - XB))</f>
        <v>#NAME?</v>
      </c>
      <c r="P9" t="e">
        <f>((3*PI()*750*250) * MajorB * MinorB* ((MajorB^2)*(COS(Theta)^2) + (MinorB^2)*(SIN(Theta)^2)))</f>
        <v>#NAME?</v>
      </c>
      <c r="Q9" t="e">
        <f>(((4 *0.964285714285714*250* (7^3)) + 3 *750*7*((MajorB^2)*(COS(Theta)^2) + (MinorB^2)*(SIN(Theta)^2))))</f>
        <v>#NAME?</v>
      </c>
      <c r="R9" t="e">
        <f>kn/kd</f>
        <v>#NAME?</v>
      </c>
      <c r="S9" t="e">
        <f>k*Displacement</f>
        <v>#NAME?</v>
      </c>
      <c r="T9">
        <v>2</v>
      </c>
      <c r="U9">
        <v>112.64099999999999</v>
      </c>
      <c r="V9">
        <v>115.089</v>
      </c>
    </row>
    <row r="10" spans="1:22" x14ac:dyDescent="0.3">
      <c r="A10">
        <v>64.361000000000004</v>
      </c>
      <c r="B10">
        <v>1.6526897906539133</v>
      </c>
      <c r="C10">
        <v>92.796000000000006</v>
      </c>
      <c r="D10">
        <v>69.245999999999995</v>
      </c>
      <c r="E10" t="e">
        <f>XB + (XT - XB) *3</f>
        <v>#NAME?</v>
      </c>
      <c r="F10" t="e">
        <f>YB + (YT - YB) *3</f>
        <v>#NAME?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 t="e">
        <f>SQRT((XT - XB)^2 + (YT - YB)^2)</f>
        <v>#NAME?</v>
      </c>
      <c r="O10" t="e">
        <f>ATAN((YT - YB) / (XT - XB))</f>
        <v>#NAME?</v>
      </c>
      <c r="P10" t="e">
        <f>((3*PI()*750*250) * MajorB * MinorB* ((MajorB^2)*(COS(Theta)^2) + (MinorB^2)*(SIN(Theta)^2)))</f>
        <v>#NAME?</v>
      </c>
      <c r="Q10" t="e">
        <f>(((4 *0.964285714285714*250* (7^3)) + 3 *750*7*((MajorB^2)*(COS(Theta)^2) + (MinorB^2)*(SIN(Theta)^2))))</f>
        <v>#NAME?</v>
      </c>
      <c r="R10" t="e">
        <f>kn/kd</f>
        <v>#NAME?</v>
      </c>
      <c r="S10" t="e">
        <f>k*Displacement</f>
        <v>#NAME?</v>
      </c>
      <c r="T10">
        <v>2</v>
      </c>
    </row>
    <row r="11" spans="1:22" x14ac:dyDescent="0.3">
      <c r="A11">
        <v>64.361000000000004</v>
      </c>
      <c r="B11">
        <v>2.3188495159153897</v>
      </c>
      <c r="C11">
        <v>127.023</v>
      </c>
      <c r="D11">
        <v>68.635000000000005</v>
      </c>
      <c r="E11" t="e">
        <f>XB + (XT - XB) *3</f>
        <v>#NAME?</v>
      </c>
      <c r="F11" t="e">
        <f>YB + (YT - YB) *3</f>
        <v>#NAME?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 t="e">
        <f>SQRT((XT - XB)^2 + (YT - YB)^2)</f>
        <v>#NAME?</v>
      </c>
      <c r="O11" t="e">
        <f>ATAN((YT - YB) / (XT - XB))</f>
        <v>#NAME?</v>
      </c>
      <c r="P11" t="e">
        <f>((3*PI()*750*250) * MajorB * MinorB* ((MajorB^2)*(COS(Theta)^2) + (MinorB^2)*(SIN(Theta)^2)))</f>
        <v>#NAME?</v>
      </c>
      <c r="Q11" t="e">
        <f>(((4 *0.964285714285714*250* (7^3)) + 3 *750*7*((MajorB^2)*(COS(Theta)^2) + (MinorB^2)*(SIN(Theta)^2))))</f>
        <v>#NAME?</v>
      </c>
      <c r="R11" t="e">
        <f>kn/kd</f>
        <v>#NAME?</v>
      </c>
      <c r="S11" t="e">
        <f>k*Displacement</f>
        <v>#NAME?</v>
      </c>
      <c r="T11">
        <v>3</v>
      </c>
      <c r="U11">
        <v>97.796000000000006</v>
      </c>
      <c r="V11">
        <v>117.184</v>
      </c>
    </row>
    <row r="12" spans="1:22" x14ac:dyDescent="0.3">
      <c r="A12">
        <v>64.361000000000004</v>
      </c>
      <c r="B12">
        <v>2.6082617344253394</v>
      </c>
      <c r="C12">
        <v>32.478000000000002</v>
      </c>
      <c r="D12">
        <v>66.56</v>
      </c>
      <c r="E12" t="e">
        <f>XB + (XT - XB) *3</f>
        <v>#NAME?</v>
      </c>
      <c r="F12" t="e">
        <f>YB + (YT - YB) *3</f>
        <v>#NAME?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 t="e">
        <f>SQRT((XT - XB)^2 + (YT - YB)^2)</f>
        <v>#NAME?</v>
      </c>
      <c r="O12" t="e">
        <f>ATAN((YT - YB) / (XT - XB))</f>
        <v>#NAME?</v>
      </c>
      <c r="P12" t="e">
        <f>((3*PI()*750*250) * MajorB * MinorB* ((MajorB^2)*(COS(Theta)^2) + (MinorB^2)*(SIN(Theta)^2)))</f>
        <v>#NAME?</v>
      </c>
      <c r="Q12" t="e">
        <f>(((4 *0.964285714285714*250* (7^3)) + 3 *750*7*((MajorB^2)*(COS(Theta)^2) + (MinorB^2)*(SIN(Theta)^2))))</f>
        <v>#NAME?</v>
      </c>
      <c r="R12" t="e">
        <f>kn/kd</f>
        <v>#NAME?</v>
      </c>
      <c r="S12" t="e">
        <f>k*Displacement</f>
        <v>#NAME?</v>
      </c>
      <c r="T12">
        <v>3</v>
      </c>
      <c r="U12">
        <v>105.554</v>
      </c>
      <c r="V12">
        <v>95.66200000000002</v>
      </c>
    </row>
    <row r="13" spans="1:22" x14ac:dyDescent="0.3">
      <c r="A13">
        <v>64.361000000000004</v>
      </c>
      <c r="B13">
        <v>2.021460325734838</v>
      </c>
      <c r="C13">
        <v>71.828999999999994</v>
      </c>
      <c r="D13">
        <v>64.936999999999998</v>
      </c>
      <c r="E13" t="e">
        <f>XB + (XT - XB) *3</f>
        <v>#NAME?</v>
      </c>
      <c r="F13" t="e">
        <f>YB + (YT - YB) *3</f>
        <v>#NAME?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 t="e">
        <f>SQRT((XT - XB)^2 + (YT - YB)^2)</f>
        <v>#NAME?</v>
      </c>
      <c r="O13" t="e">
        <f>ATAN((YT - YB) / (XT - XB))</f>
        <v>#NAME?</v>
      </c>
      <c r="P13" t="e">
        <f>((3*PI()*750*250) * MajorB * MinorB* ((MajorB^2)*(COS(Theta)^2) + (MinorB^2)*(SIN(Theta)^2)))</f>
        <v>#NAME?</v>
      </c>
      <c r="Q13" t="e">
        <f>(((4 *0.964285714285714*250* (7^3)) + 3 *750*7*((MajorB^2)*(COS(Theta)^2) + (MinorB^2)*(SIN(Theta)^2))))</f>
        <v>#NAME?</v>
      </c>
      <c r="R13" t="e">
        <f>kn/kd</f>
        <v>#NAME?</v>
      </c>
      <c r="S13" t="e">
        <f>k*Displacement</f>
        <v>#NAME?</v>
      </c>
      <c r="T13">
        <v>3</v>
      </c>
    </row>
    <row r="14" spans="1:22" x14ac:dyDescent="0.3">
      <c r="A14">
        <v>64.361000000000004</v>
      </c>
      <c r="B14">
        <v>1.6864171803950689</v>
      </c>
      <c r="C14">
        <v>106.268</v>
      </c>
      <c r="D14">
        <v>43.911000000000001</v>
      </c>
      <c r="E14" t="e">
        <f>XB + (XT - XB) *3</f>
        <v>#NAME?</v>
      </c>
      <c r="F14" t="e">
        <f>YB + (YT - YB) *3</f>
        <v>#NAME?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 t="e">
        <f>SQRT((XT - XB)^2 + (YT - YB)^2)</f>
        <v>#NAME?</v>
      </c>
      <c r="O14" t="e">
        <f>ATAN((YT - YB) / (XT - XB))</f>
        <v>#NAME?</v>
      </c>
      <c r="P14" t="e">
        <f>((3*PI()*750*250) * MajorB * MinorB* ((MajorB^2)*(COS(Theta)^2) + (MinorB^2)*(SIN(Theta)^2)))</f>
        <v>#NAME?</v>
      </c>
      <c r="Q14" t="e">
        <f>(((4 *0.964285714285714*250* (7^3)) + 3 *750*7*((MajorB^2)*(COS(Theta)^2) + (MinorB^2)*(SIN(Theta)^2))))</f>
        <v>#NAME?</v>
      </c>
      <c r="R14" t="e">
        <f>kn/kd</f>
        <v>#NAME?</v>
      </c>
      <c r="S14" t="e">
        <f>k*Displacement</f>
        <v>#NAME?</v>
      </c>
      <c r="T14">
        <v>4</v>
      </c>
      <c r="U14">
        <v>109.783</v>
      </c>
      <c r="V14">
        <v>94.256</v>
      </c>
    </row>
    <row r="15" spans="1:22" x14ac:dyDescent="0.3">
      <c r="A15">
        <v>64.361000000000004</v>
      </c>
      <c r="B15">
        <v>2.1503444320830951</v>
      </c>
      <c r="C15">
        <v>79.174000000000007</v>
      </c>
      <c r="D15">
        <v>43.296999999999997</v>
      </c>
      <c r="E15" t="e">
        <f>XB + (XT - XB) *3</f>
        <v>#NAME?</v>
      </c>
      <c r="F15" t="e">
        <f>YB + (YT - YB) *3</f>
        <v>#NAME?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 t="e">
        <f>SQRT((XT - XB)^2 + (YT - YB)^2)</f>
        <v>#NAME?</v>
      </c>
      <c r="O15" t="e">
        <f>ATAN((YT - YB) / (XT - XB))</f>
        <v>#NAME?</v>
      </c>
      <c r="P15" t="e">
        <f>((3*PI()*750*250) * MajorB * MinorB* ((MajorB^2)*(COS(Theta)^2) + (MinorB^2)*(SIN(Theta)^2)))</f>
        <v>#NAME?</v>
      </c>
      <c r="Q15" t="e">
        <f>(((4 *0.964285714285714*250* (7^3)) + 3 *750*7*((MajorB^2)*(COS(Theta)^2) + (MinorB^2)*(SIN(Theta)^2))))</f>
        <v>#NAME?</v>
      </c>
      <c r="R15" t="e">
        <f>kn/kd</f>
        <v>#NAME?</v>
      </c>
      <c r="S15" t="e">
        <f>k*Displacement</f>
        <v>#NAME?</v>
      </c>
      <c r="T15">
        <v>4</v>
      </c>
      <c r="U15">
        <v>94.251999999999981</v>
      </c>
      <c r="V15">
        <v>94.252999999999986</v>
      </c>
    </row>
    <row r="16" spans="1:22" x14ac:dyDescent="0.3">
      <c r="A16">
        <v>64.361000000000004</v>
      </c>
      <c r="B16">
        <v>2.2610629653122625</v>
      </c>
      <c r="C16">
        <v>48.167000000000002</v>
      </c>
      <c r="D16">
        <v>39.914999999999999</v>
      </c>
      <c r="E16" t="e">
        <f>XB + (XT - XB) *3</f>
        <v>#NAME?</v>
      </c>
      <c r="F16" t="e">
        <f>YB + (YT - YB) *3</f>
        <v>#NAME?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 t="e">
        <f>SQRT((XT - XB)^2 + (YT - YB)^2)</f>
        <v>#NAME?</v>
      </c>
      <c r="O16" t="e">
        <f>ATAN((YT - YB) / (XT - XB))</f>
        <v>#NAME?</v>
      </c>
      <c r="P16" t="e">
        <f>((3*PI()*750*250) * MajorB * MinorB* ((MajorB^2)*(COS(Theta)^2) + (MinorB^2)*(SIN(Theta)^2)))</f>
        <v>#NAME?</v>
      </c>
      <c r="Q16" t="e">
        <f>(((4 *0.964285714285714*250* (7^3)) + 3 *750*7*((MajorB^2)*(COS(Theta)^2) + (MinorB^2)*(SIN(Theta)^2))))</f>
        <v>#NAME?</v>
      </c>
      <c r="R16" t="e">
        <f>kn/kd</f>
        <v>#NAME?</v>
      </c>
      <c r="S16" t="e">
        <f>k*Displacement</f>
        <v>#NAME?</v>
      </c>
      <c r="T16">
        <v>4</v>
      </c>
    </row>
    <row r="17" spans="1:22" x14ac:dyDescent="0.3">
      <c r="A17">
        <v>64.361000000000004</v>
      </c>
      <c r="B17">
        <v>2.2801750444467492</v>
      </c>
      <c r="C17">
        <v>21.568999999999999</v>
      </c>
      <c r="D17">
        <v>36.097999999999999</v>
      </c>
      <c r="E17" t="e">
        <f>XB + (XT - XB) *3</f>
        <v>#NAME?</v>
      </c>
      <c r="F17" t="e">
        <f>YB + (YT - YB) *3</f>
        <v>#NAME?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 t="e">
        <f>SQRT((XT - XB)^2 + (YT - YB)^2)</f>
        <v>#NAME?</v>
      </c>
      <c r="O17" t="e">
        <f>ATAN((YT - YB) / (XT - XB))</f>
        <v>#NAME?</v>
      </c>
      <c r="P17" t="e">
        <f>((3*PI()*750*250) * MajorB * MinorB* ((MajorB^2)*(COS(Theta)^2) + (MinorB^2)*(SIN(Theta)^2)))</f>
        <v>#NAME?</v>
      </c>
      <c r="Q17" t="e">
        <f>(((4 *0.964285714285714*250* (7^3)) + 3 *750*7*((MajorB^2)*(COS(Theta)^2) + (MinorB^2)*(SIN(Theta)^2))))</f>
        <v>#NAME?</v>
      </c>
      <c r="R17" t="e">
        <f>kn/kd</f>
        <v>#NAME?</v>
      </c>
      <c r="S17" t="e">
        <f>k*Displacement</f>
        <v>#NAME?</v>
      </c>
      <c r="T17">
        <v>5</v>
      </c>
      <c r="U17">
        <v>47.982999999999997</v>
      </c>
      <c r="V17">
        <v>93.194000000000003</v>
      </c>
    </row>
    <row r="18" spans="1:22" x14ac:dyDescent="0.3">
      <c r="A18">
        <v>64.361000000000004</v>
      </c>
      <c r="B18">
        <v>2.1901418805448261</v>
      </c>
      <c r="C18">
        <v>93.355999999999995</v>
      </c>
      <c r="D18">
        <v>18.591999999999999</v>
      </c>
      <c r="E18" t="e">
        <f>XB + (XT - XB) *3</f>
        <v>#NAME?</v>
      </c>
      <c r="F18" t="e">
        <f>YB + (YT - YB) *3</f>
        <v>#NAME?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 t="e">
        <f>SQRT((XT - XB)^2 + (YT - YB)^2)</f>
        <v>#NAME?</v>
      </c>
      <c r="O18" t="e">
        <f>ATAN((YT - YB) / (XT - XB))</f>
        <v>#NAME?</v>
      </c>
      <c r="P18" t="e">
        <f>((3*PI()*750*250) * MajorB * MinorB* ((MajorB^2)*(COS(Theta)^2) + (MinorB^2)*(SIN(Theta)^2)))</f>
        <v>#NAME?</v>
      </c>
      <c r="Q18" t="e">
        <f>(((4 *0.964285714285714*250* (7^3)) + 3 *750*7*((MajorB^2)*(COS(Theta)^2) + (MinorB^2)*(SIN(Theta)^2))))</f>
        <v>#NAME?</v>
      </c>
      <c r="R18" t="e">
        <f>kn/kd</f>
        <v>#NAME?</v>
      </c>
      <c r="S18" t="e">
        <f>k*Displacement</f>
        <v>#NAME?</v>
      </c>
      <c r="T18">
        <v>5</v>
      </c>
      <c r="U18">
        <v>48.88300000000001</v>
      </c>
      <c r="V18">
        <v>95.045000000000016</v>
      </c>
    </row>
    <row r="19" spans="1:22" x14ac:dyDescent="0.3">
      <c r="A19">
        <v>64.361000000000004</v>
      </c>
      <c r="B19">
        <v>2.3268206425556603</v>
      </c>
      <c r="C19">
        <v>64.227999999999994</v>
      </c>
      <c r="D19">
        <v>16.413</v>
      </c>
      <c r="E19" t="e">
        <f>XB + (XT - XB) *3</f>
        <v>#NAME?</v>
      </c>
      <c r="F19" t="e">
        <f>YB + (YT - YB) *3</f>
        <v>#NAME?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 t="e">
        <f>SQRT((XT - XB)^2 + (YT - YB)^2)</f>
        <v>#NAME?</v>
      </c>
      <c r="O19" t="e">
        <f>ATAN((YT - YB) / (XT - XB))</f>
        <v>#NAME?</v>
      </c>
      <c r="P19" t="e">
        <f>((3*PI()*750*250) * MajorB * MinorB* ((MajorB^2)*(COS(Theta)^2) + (MinorB^2)*(SIN(Theta)^2)))</f>
        <v>#NAME?</v>
      </c>
      <c r="Q19" t="e">
        <f>(((4 *0.964285714285714*250* (7^3)) + 3 *750*7*((MajorB^2)*(COS(Theta)^2) + (MinorB^2)*(SIN(Theta)^2))))</f>
        <v>#NAME?</v>
      </c>
      <c r="R19" t="e">
        <f>kn/kd</f>
        <v>#NAME?</v>
      </c>
      <c r="S19" t="e">
        <f>k*Displacement</f>
        <v>#NAME?</v>
      </c>
      <c r="T19">
        <v>5</v>
      </c>
    </row>
    <row r="20" spans="1:22" x14ac:dyDescent="0.3">
      <c r="A20">
        <v>64.361000000000004</v>
      </c>
      <c r="B20">
        <v>2.0552168820116785</v>
      </c>
      <c r="C20">
        <v>34.613</v>
      </c>
      <c r="D20">
        <v>16.141999999999999</v>
      </c>
      <c r="E20" t="e">
        <f>XB + (XT - XB) *3</f>
        <v>#NAME?</v>
      </c>
      <c r="F20" t="e">
        <f>YB + (YT - YB) *3</f>
        <v>#NAME?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 t="e">
        <f>SQRT((XT - XB)^2 + (YT - YB)^2)</f>
        <v>#NAME?</v>
      </c>
      <c r="O20" t="e">
        <f>ATAN((YT - YB) / (XT - XB))</f>
        <v>#NAME?</v>
      </c>
      <c r="P20" t="e">
        <f>((3*PI()*750*250) * MajorB * MinorB* ((MajorB^2)*(COS(Theta)^2) + (MinorB^2)*(SIN(Theta)^2)))</f>
        <v>#NAME?</v>
      </c>
      <c r="Q20" t="e">
        <f>(((4 *0.964285714285714*250* (7^3)) + 3 *750*7*((MajorB^2)*(COS(Theta)^2) + (MinorB^2)*(SIN(Theta)^2))))</f>
        <v>#NAME?</v>
      </c>
      <c r="R20" t="e">
        <f>kn/kd</f>
        <v>#NAME?</v>
      </c>
      <c r="S20" t="e">
        <f>k*Displacement</f>
        <v>#NAME?</v>
      </c>
      <c r="T20">
        <v>6</v>
      </c>
      <c r="U20">
        <v>15.929</v>
      </c>
      <c r="V20">
        <v>92.397000000000006</v>
      </c>
    </row>
    <row r="21" spans="1:22" x14ac:dyDescent="0.3">
      <c r="A21">
        <v>64.361000000000004</v>
      </c>
      <c r="B21">
        <v>2.000735054478743</v>
      </c>
      <c r="C21">
        <v>127.047</v>
      </c>
      <c r="D21">
        <v>15.714</v>
      </c>
      <c r="E21" t="e">
        <f>XB + (XT - XB) *3</f>
        <v>#NAME?</v>
      </c>
      <c r="F21" t="e">
        <f>YB + (YT - YB) *3</f>
        <v>#NAME?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 t="e">
        <f>SQRT((XT - XB)^2 + (YT - YB)^2)</f>
        <v>#NAME?</v>
      </c>
      <c r="O21" t="e">
        <f>ATAN((YT - YB) / (XT - XB))</f>
        <v>#NAME?</v>
      </c>
      <c r="P21" t="e">
        <f>((3*PI()*750*250) * MajorB * MinorB* ((MajorB^2)*(COS(Theta)^2) + (MinorB^2)*(SIN(Theta)^2)))</f>
        <v>#NAME?</v>
      </c>
      <c r="Q21" t="e">
        <f>(((4 *0.964285714285714*250* (7^3)) + 3 *750*7*((MajorB^2)*(COS(Theta)^2) + (MinorB^2)*(SIN(Theta)^2))))</f>
        <v>#NAME?</v>
      </c>
      <c r="R21" t="e">
        <f>kn/kd</f>
        <v>#NAME?</v>
      </c>
      <c r="S21" t="e">
        <f>k*Displacement</f>
        <v>#NAME?</v>
      </c>
      <c r="T21">
        <v>6</v>
      </c>
      <c r="U21">
        <v>16.366999999999997</v>
      </c>
      <c r="V21">
        <v>94.566000000000003</v>
      </c>
    </row>
    <row r="22" spans="1:22" x14ac:dyDescent="0.3">
      <c r="A22">
        <v>64.361000000000004</v>
      </c>
      <c r="T22">
        <v>6</v>
      </c>
    </row>
    <row r="23" spans="1:22" x14ac:dyDescent="0.3">
      <c r="A23">
        <v>64.361000000000004</v>
      </c>
      <c r="T23">
        <v>7</v>
      </c>
      <c r="U23">
        <v>82.682000000000002</v>
      </c>
      <c r="V23">
        <v>93.212000000000003</v>
      </c>
    </row>
    <row r="24" spans="1:22" x14ac:dyDescent="0.3">
      <c r="A24">
        <v>64.361000000000004</v>
      </c>
      <c r="T24">
        <v>7</v>
      </c>
      <c r="U24">
        <v>97.298000000000002</v>
      </c>
      <c r="V24">
        <v>88.789999999999992</v>
      </c>
    </row>
    <row r="25" spans="1:22" x14ac:dyDescent="0.3">
      <c r="A25">
        <v>64.361000000000004</v>
      </c>
      <c r="T25">
        <v>7</v>
      </c>
    </row>
    <row r="26" spans="1:22" x14ac:dyDescent="0.3">
      <c r="A26">
        <v>64.361000000000004</v>
      </c>
      <c r="T26">
        <v>8</v>
      </c>
      <c r="U26">
        <v>94.171000000000006</v>
      </c>
      <c r="V26">
        <v>68.346000000000004</v>
      </c>
    </row>
    <row r="27" spans="1:22" x14ac:dyDescent="0.3">
      <c r="A27">
        <v>64.361000000000004</v>
      </c>
      <c r="T27">
        <v>8</v>
      </c>
      <c r="U27">
        <v>90.046000000000006</v>
      </c>
      <c r="V27">
        <v>71.045999999999978</v>
      </c>
    </row>
    <row r="28" spans="1:22" x14ac:dyDescent="0.3">
      <c r="T28">
        <v>8</v>
      </c>
    </row>
    <row r="29" spans="1:22" x14ac:dyDescent="0.3">
      <c r="T29">
        <v>9</v>
      </c>
      <c r="U29">
        <v>126.63200000000001</v>
      </c>
      <c r="V29">
        <v>67.897000000000006</v>
      </c>
    </row>
    <row r="30" spans="1:22" x14ac:dyDescent="0.3">
      <c r="T30">
        <v>9</v>
      </c>
      <c r="U30">
        <v>127.80499999999998</v>
      </c>
      <c r="V30">
        <v>70.111000000000004</v>
      </c>
    </row>
    <row r="31" spans="1:22" x14ac:dyDescent="0.3">
      <c r="T31">
        <v>9</v>
      </c>
    </row>
    <row r="32" spans="1:22" x14ac:dyDescent="0.3">
      <c r="T32">
        <v>10</v>
      </c>
      <c r="U32">
        <v>32.027000000000001</v>
      </c>
      <c r="V32">
        <v>65.957999999999998</v>
      </c>
    </row>
    <row r="33" spans="20:22" x14ac:dyDescent="0.3">
      <c r="T33">
        <v>10</v>
      </c>
      <c r="U33">
        <v>33.380000000000003</v>
      </c>
      <c r="V33">
        <v>67.76400000000001</v>
      </c>
    </row>
    <row r="34" spans="20:22" x14ac:dyDescent="0.3">
      <c r="T34">
        <v>10</v>
      </c>
    </row>
    <row r="35" spans="20:22" x14ac:dyDescent="0.3">
      <c r="T35">
        <v>11</v>
      </c>
      <c r="U35">
        <v>65.11</v>
      </c>
      <c r="V35">
        <v>66.436000000000007</v>
      </c>
    </row>
    <row r="36" spans="20:22" x14ac:dyDescent="0.3">
      <c r="T36">
        <v>11</v>
      </c>
      <c r="U36">
        <v>85.266999999999982</v>
      </c>
      <c r="V36">
        <v>61.938999999999979</v>
      </c>
    </row>
    <row r="37" spans="20:22" x14ac:dyDescent="0.3">
      <c r="T37">
        <v>11</v>
      </c>
    </row>
    <row r="38" spans="20:22" x14ac:dyDescent="0.3">
      <c r="T38">
        <v>12</v>
      </c>
      <c r="U38">
        <v>109.29</v>
      </c>
      <c r="V38">
        <v>42.423000000000002</v>
      </c>
    </row>
    <row r="39" spans="20:22" x14ac:dyDescent="0.3">
      <c r="T39">
        <v>12</v>
      </c>
      <c r="U39">
        <v>100.22399999999999</v>
      </c>
      <c r="V39">
        <v>46.887</v>
      </c>
    </row>
    <row r="40" spans="20:22" x14ac:dyDescent="0.3">
      <c r="T40">
        <v>12</v>
      </c>
    </row>
    <row r="41" spans="20:22" x14ac:dyDescent="0.3">
      <c r="T41">
        <v>13</v>
      </c>
      <c r="U41">
        <v>79.605999999999995</v>
      </c>
      <c r="V41">
        <v>41.566000000000003</v>
      </c>
    </row>
    <row r="42" spans="20:22" x14ac:dyDescent="0.3">
      <c r="T42">
        <v>13</v>
      </c>
      <c r="U42">
        <v>78.310000000000031</v>
      </c>
      <c r="V42">
        <v>46.758999999999986</v>
      </c>
    </row>
    <row r="43" spans="20:22" x14ac:dyDescent="0.3">
      <c r="T43">
        <v>13</v>
      </c>
    </row>
    <row r="44" spans="20:22" x14ac:dyDescent="0.3">
      <c r="T44">
        <v>14</v>
      </c>
      <c r="U44">
        <v>48.317999999999998</v>
      </c>
      <c r="V44">
        <v>39.755000000000003</v>
      </c>
    </row>
    <row r="45" spans="20:22" x14ac:dyDescent="0.3">
      <c r="T45">
        <v>14</v>
      </c>
      <c r="U45">
        <v>47.865000000000009</v>
      </c>
      <c r="V45">
        <v>40.234999999999992</v>
      </c>
    </row>
    <row r="46" spans="20:22" x14ac:dyDescent="0.3">
      <c r="T46">
        <v>14</v>
      </c>
    </row>
    <row r="47" spans="20:22" x14ac:dyDescent="0.3">
      <c r="T47">
        <v>15</v>
      </c>
      <c r="U47">
        <v>17.579999999999998</v>
      </c>
      <c r="V47">
        <v>38.246000000000002</v>
      </c>
    </row>
    <row r="48" spans="20:22" x14ac:dyDescent="0.3">
      <c r="T48">
        <v>15</v>
      </c>
      <c r="U48">
        <v>29.547000000000001</v>
      </c>
      <c r="V48">
        <v>31.801999999999992</v>
      </c>
    </row>
    <row r="49" spans="20:22" x14ac:dyDescent="0.3">
      <c r="T49">
        <v>15</v>
      </c>
    </row>
    <row r="50" spans="20:22" x14ac:dyDescent="0.3">
      <c r="T50">
        <v>16</v>
      </c>
      <c r="U50">
        <v>95.41</v>
      </c>
      <c r="V50">
        <v>16.314</v>
      </c>
    </row>
    <row r="51" spans="20:22" x14ac:dyDescent="0.3">
      <c r="T51">
        <v>16</v>
      </c>
      <c r="U51">
        <v>89.24799999999999</v>
      </c>
      <c r="V51">
        <v>23.147999999999996</v>
      </c>
    </row>
    <row r="52" spans="20:22" x14ac:dyDescent="0.3">
      <c r="T52">
        <v>16</v>
      </c>
    </row>
    <row r="53" spans="20:22" x14ac:dyDescent="0.3">
      <c r="T53">
        <v>17</v>
      </c>
      <c r="U53">
        <v>64.513999999999996</v>
      </c>
      <c r="V53">
        <v>14.202</v>
      </c>
    </row>
    <row r="54" spans="20:22" x14ac:dyDescent="0.3">
      <c r="T54">
        <v>17</v>
      </c>
      <c r="U54">
        <v>63.655999999999992</v>
      </c>
      <c r="V54">
        <v>20.835000000000001</v>
      </c>
    </row>
    <row r="55" spans="20:22" x14ac:dyDescent="0.3">
      <c r="T55">
        <v>17</v>
      </c>
    </row>
    <row r="56" spans="20:22" x14ac:dyDescent="0.3">
      <c r="T56">
        <v>18</v>
      </c>
      <c r="U56">
        <v>32.886000000000003</v>
      </c>
      <c r="V56">
        <v>13.475</v>
      </c>
    </row>
    <row r="57" spans="20:22" x14ac:dyDescent="0.3">
      <c r="T57">
        <v>18</v>
      </c>
      <c r="U57">
        <v>38.066999999999993</v>
      </c>
      <c r="V57">
        <v>21.475999999999999</v>
      </c>
    </row>
    <row r="58" spans="20:22" x14ac:dyDescent="0.3">
      <c r="T58">
        <v>18</v>
      </c>
    </row>
    <row r="59" spans="20:22" x14ac:dyDescent="0.3">
      <c r="T59">
        <v>19</v>
      </c>
      <c r="U59">
        <v>125.932</v>
      </c>
      <c r="V59">
        <v>15.515000000000001</v>
      </c>
    </row>
    <row r="60" spans="20:22" x14ac:dyDescent="0.3">
      <c r="T60">
        <v>19</v>
      </c>
      <c r="U60">
        <v>129.27699999999999</v>
      </c>
      <c r="V60">
        <v>16.112000000000002</v>
      </c>
    </row>
    <row r="61" spans="20:22" x14ac:dyDescent="0.3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"/>
  <sheetViews>
    <sheetView workbookViewId="0">
      <selection sqref="A1:I27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 x14ac:dyDescent="0.3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 x14ac:dyDescent="0.3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 x14ac:dyDescent="0.3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 x14ac:dyDescent="0.3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 x14ac:dyDescent="0.3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 x14ac:dyDescent="0.3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 x14ac:dyDescent="0.3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 x14ac:dyDescent="0.3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 x14ac:dyDescent="0.3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 x14ac:dyDescent="0.3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 x14ac:dyDescent="0.3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 x14ac:dyDescent="0.3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 x14ac:dyDescent="0.3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 x14ac:dyDescent="0.3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 x14ac:dyDescent="0.3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 x14ac:dyDescent="0.3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 x14ac:dyDescent="0.3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 x14ac:dyDescent="0.3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 x14ac:dyDescent="0.3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 x14ac:dyDescent="0.3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 x14ac:dyDescent="0.3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 x14ac:dyDescent="0.3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 x14ac:dyDescent="0.3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 x14ac:dyDescent="0.3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 x14ac:dyDescent="0.3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workbookViewId="0">
      <selection activeCell="F11" sqref="F1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 x14ac:dyDescent="0.3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 x14ac:dyDescent="0.3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 x14ac:dyDescent="0.3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 x14ac:dyDescent="0.3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 x14ac:dyDescent="0.3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 x14ac:dyDescent="0.3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 x14ac:dyDescent="0.3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 x14ac:dyDescent="0.3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 x14ac:dyDescent="0.3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</vt:i4>
      </vt:variant>
    </vt:vector>
  </HeadingPairs>
  <TitlesOfParts>
    <vt:vector size="25" baseType="lpstr">
      <vt:lpstr>base</vt:lpstr>
      <vt:lpstr>Sheet4</vt:lpstr>
      <vt:lpstr>Sheet3</vt:lpstr>
      <vt:lpstr>Sheet2</vt:lpstr>
      <vt:lpstr>result</vt:lpstr>
      <vt:lpstr>top</vt:lpstr>
      <vt:lpstr>top_2</vt:lpstr>
      <vt:lpstr>Anglebase</vt:lpstr>
      <vt:lpstr>Angletop</vt:lpstr>
      <vt:lpstr>Areabase</vt:lpstr>
      <vt:lpstr>Areatop</vt:lpstr>
      <vt:lpstr>base</vt:lpstr>
      <vt:lpstr>Majorbase</vt:lpstr>
      <vt:lpstr>Majortop</vt:lpstr>
      <vt:lpstr>Maxbase</vt:lpstr>
      <vt:lpstr>Maxtop</vt:lpstr>
      <vt:lpstr>Minbase</vt:lpstr>
      <vt:lpstr>Minorbase</vt:lpstr>
      <vt:lpstr>Minortop</vt:lpstr>
      <vt:lpstr>Mintop</vt:lpstr>
      <vt:lpstr>top</vt:lpstr>
      <vt:lpstr>Xbase</vt:lpstr>
      <vt:lpstr>Xtop</vt:lpstr>
      <vt:lpstr>Ybase</vt:lpstr>
      <vt:lpstr>Ytop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2013-08-15T20:54:47Z</dcterms:modified>
</cp:coreProperties>
</file>