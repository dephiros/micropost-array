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tiff" ContentType="image/tif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035" yWindow="30" windowWidth="8820" windowHeight="7125" activeTab="1"/>
  </bookViews>
  <sheets>
    <sheet name="base" sheetId="400" r:id="rId1"/>
    <sheet name="result" sheetId="415" r:id="rId2"/>
    <sheet name="top" sheetId="399" r:id="rId3"/>
    <sheet name="top_2" sheetId="398" r:id="rId4"/>
  </sheets>
  <functionGroups/>
  <definedNames>
    <definedName name="Anglebase">base!$I$2:$I$21</definedName>
    <definedName name="Angletop">top!$I$2:$I$27</definedName>
    <definedName name="AreaB">result!$I$2:$I$21</definedName>
    <definedName name="Areabase">base!$B$2:$B$21</definedName>
    <definedName name="AreaT">result!$B$2:$B$21</definedName>
    <definedName name="Areatop">top!$B$2:$B$27</definedName>
    <definedName name="base">base!$A$2:$A$21</definedName>
    <definedName name="Displacement">result!$N$2:$N$21</definedName>
    <definedName name="Force">result!$S$2:$S$21</definedName>
    <definedName name="k">result!$R$2:$R$21</definedName>
    <definedName name="kd">result!$Q$2:$Q$21</definedName>
    <definedName name="kn">result!$P$2:$P$21</definedName>
    <definedName name="MajorB">result!$L$2:$L$21</definedName>
    <definedName name="Majorbase">base!$G$2:$G$21</definedName>
    <definedName name="MajorT">result!$G$2:$G$21</definedName>
    <definedName name="Majortop">top!$G$2:$G$27</definedName>
    <definedName name="Maxbase">base!$D$2:$D$21</definedName>
    <definedName name="Maxtop">top!$D$2:$D$27</definedName>
    <definedName name="Minbase">base!$C$2:$C$21</definedName>
    <definedName name="MinorB">result!$M$2:$M$21</definedName>
    <definedName name="Minorbase">base!$H$2:$H$21</definedName>
    <definedName name="MinorT">result!$H$2:$H$21</definedName>
    <definedName name="Minortop">top!$H$2:$H$27</definedName>
    <definedName name="Mintop">top!$C$2:$C$27</definedName>
    <definedName name="Scaled_XT">result!$E$2:$E$21</definedName>
    <definedName name="Scaled_YT">result!$F$2:$F$21</definedName>
    <definedName name="Theta">result!$O$2:$O$21</definedName>
    <definedName name="top">top!$A$2:$A$27</definedName>
    <definedName name="XB">result!$J$2:$J$21</definedName>
    <definedName name="Xbase">base!$E$2:$E$21</definedName>
    <definedName name="XT">result!$C$2:$C$21</definedName>
    <definedName name="Xtop">top!$E$2:$E$27</definedName>
    <definedName name="YB">result!$K$2:$K$21</definedName>
    <definedName name="Ybase">base!$F$2:$F$21</definedName>
    <definedName name="YT">result!$D$2:$D$21</definedName>
    <definedName name="Ytop">top!$F$2:$F$27</definedName>
  </definedNames>
  <calcPr calcId="124519"/>
  <fileRecoveryPr repairLoad="1"/>
</workbook>
</file>

<file path=xl/calcChain.xml><?xml version="1.0" encoding="utf-8"?>
<calcChain xmlns="http://schemas.openxmlformats.org/spreadsheetml/2006/main">
  <c r="S21" i="415"/>
  <c r="R21"/>
  <c r="Q21"/>
  <c r="P21"/>
  <c r="O21"/>
  <c r="N21"/>
  <c r="F21"/>
  <c r="E21"/>
  <c r="S20"/>
  <c r="R20"/>
  <c r="Q20"/>
  <c r="P20"/>
  <c r="O20"/>
  <c r="N20"/>
  <c r="F20"/>
  <c r="E20"/>
  <c r="S19"/>
  <c r="R19"/>
  <c r="Q19"/>
  <c r="P19"/>
  <c r="O19"/>
  <c r="N19"/>
  <c r="F19"/>
  <c r="E19"/>
  <c r="S18"/>
  <c r="R18"/>
  <c r="Q18"/>
  <c r="P18"/>
  <c r="O18"/>
  <c r="N18"/>
  <c r="F18"/>
  <c r="E18"/>
  <c r="S17"/>
  <c r="R17"/>
  <c r="Q17"/>
  <c r="P17"/>
  <c r="O17"/>
  <c r="N17"/>
  <c r="F17"/>
  <c r="E17"/>
  <c r="S16"/>
  <c r="R16"/>
  <c r="Q16"/>
  <c r="P16"/>
  <c r="O16"/>
  <c r="N16"/>
  <c r="F16"/>
  <c r="E16"/>
  <c r="S15"/>
  <c r="R15"/>
  <c r="Q15"/>
  <c r="P15"/>
  <c r="O15"/>
  <c r="N15"/>
  <c r="F15"/>
  <c r="E15"/>
  <c r="S14"/>
  <c r="R14"/>
  <c r="Q14"/>
  <c r="P14"/>
  <c r="O14"/>
  <c r="N14"/>
  <c r="F14"/>
  <c r="E14"/>
  <c r="S13"/>
  <c r="R13"/>
  <c r="Q13"/>
  <c r="P13"/>
  <c r="O13"/>
  <c r="N13"/>
  <c r="F13"/>
  <c r="E13"/>
  <c r="S12"/>
  <c r="R12"/>
  <c r="Q12"/>
  <c r="P12"/>
  <c r="O12"/>
  <c r="N12"/>
  <c r="F12"/>
  <c r="E12"/>
  <c r="S11"/>
  <c r="R11"/>
  <c r="Q11"/>
  <c r="P11"/>
  <c r="O11"/>
  <c r="N11"/>
  <c r="F11"/>
  <c r="E11"/>
  <c r="S10"/>
  <c r="R10"/>
  <c r="Q10"/>
  <c r="P10"/>
  <c r="O10"/>
  <c r="N10"/>
  <c r="F10"/>
  <c r="E10"/>
  <c r="S9"/>
  <c r="R9"/>
  <c r="Q9"/>
  <c r="P9"/>
  <c r="O9"/>
  <c r="N9"/>
  <c r="F9"/>
  <c r="E9"/>
  <c r="S8"/>
  <c r="R8"/>
  <c r="Q8"/>
  <c r="P8"/>
  <c r="O8"/>
  <c r="N8"/>
  <c r="F8"/>
  <c r="E8"/>
  <c r="S7"/>
  <c r="R7"/>
  <c r="Q7"/>
  <c r="P7"/>
  <c r="O7"/>
  <c r="N7"/>
  <c r="F7"/>
  <c r="E7"/>
  <c r="S6"/>
  <c r="R6"/>
  <c r="Q6"/>
  <c r="P6"/>
  <c r="O6"/>
  <c r="N6"/>
  <c r="F6"/>
  <c r="E6"/>
  <c r="S5"/>
  <c r="R5"/>
  <c r="Q5"/>
  <c r="P5"/>
  <c r="O5"/>
  <c r="N5"/>
  <c r="F5"/>
  <c r="E5"/>
  <c r="S4"/>
  <c r="R4"/>
  <c r="Q4"/>
  <c r="P4"/>
  <c r="O4"/>
  <c r="N4"/>
  <c r="F4"/>
  <c r="E4"/>
  <c r="S3"/>
  <c r="R3"/>
  <c r="Q3"/>
  <c r="P3"/>
  <c r="O3"/>
  <c r="N3"/>
  <c r="F3"/>
  <c r="E3"/>
  <c r="S2"/>
  <c r="R2"/>
  <c r="Q2"/>
  <c r="P2"/>
  <c r="O2"/>
  <c r="N2"/>
  <c r="F2"/>
  <c r="E2"/>
</calcChain>
</file>

<file path=xl/sharedStrings.xml><?xml version="1.0" encoding="utf-8"?>
<sst xmlns="http://schemas.openxmlformats.org/spreadsheetml/2006/main" count="45" uniqueCount="27">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</sst>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result!$U$2:$U$61</c:f>
              <c:numCache>
                <c:formatCode>General</c:formatCode>
                <c:ptCount val="60"/>
                <c:pt idx="0">
                  <c:v>64.361000000000004</c:v>
                </c:pt>
                <c:pt idx="1">
                  <c:v>65.189000000000007</c:v>
                </c:pt>
                <c:pt idx="3">
                  <c:v>31.754000000000001</c:v>
                </c:pt>
                <c:pt idx="4">
                  <c:v>32.168000000000006</c:v>
                </c:pt>
                <c:pt idx="6">
                  <c:v>120.887</c:v>
                </c:pt>
                <c:pt idx="7">
                  <c:v>112.64099999999999</c:v>
                </c:pt>
                <c:pt idx="9">
                  <c:v>100.38200000000001</c:v>
                </c:pt>
                <c:pt idx="10">
                  <c:v>105.554</c:v>
                </c:pt>
                <c:pt idx="12">
                  <c:v>104.60599999999999</c:v>
                </c:pt>
                <c:pt idx="13">
                  <c:v>94.251999999999981</c:v>
                </c:pt>
                <c:pt idx="15">
                  <c:v>48.283000000000001</c:v>
                </c:pt>
                <c:pt idx="16">
                  <c:v>48.88300000000001</c:v>
                </c:pt>
                <c:pt idx="18">
                  <c:v>16.074999999999999</c:v>
                </c:pt>
                <c:pt idx="19">
                  <c:v>16.366999999999997</c:v>
                </c:pt>
                <c:pt idx="21">
                  <c:v>87.554000000000002</c:v>
                </c:pt>
                <c:pt idx="22">
                  <c:v>97.298000000000002</c:v>
                </c:pt>
                <c:pt idx="24">
                  <c:v>92.796000000000006</c:v>
                </c:pt>
                <c:pt idx="25">
                  <c:v>90.046000000000006</c:v>
                </c:pt>
                <c:pt idx="27">
                  <c:v>127.023</c:v>
                </c:pt>
                <c:pt idx="28">
                  <c:v>127.80499999999998</c:v>
                </c:pt>
                <c:pt idx="30">
                  <c:v>32.478000000000002</c:v>
                </c:pt>
                <c:pt idx="31">
                  <c:v>33.380000000000003</c:v>
                </c:pt>
                <c:pt idx="33">
                  <c:v>71.828999999999994</c:v>
                </c:pt>
                <c:pt idx="34">
                  <c:v>85.266999999999982</c:v>
                </c:pt>
                <c:pt idx="36">
                  <c:v>106.268</c:v>
                </c:pt>
                <c:pt idx="37">
                  <c:v>100.22399999999999</c:v>
                </c:pt>
                <c:pt idx="39">
                  <c:v>79.174000000000007</c:v>
                </c:pt>
                <c:pt idx="40">
                  <c:v>78.310000000000031</c:v>
                </c:pt>
                <c:pt idx="42">
                  <c:v>48.167000000000002</c:v>
                </c:pt>
                <c:pt idx="43">
                  <c:v>47.865000000000009</c:v>
                </c:pt>
                <c:pt idx="45">
                  <c:v>21.568999999999999</c:v>
                </c:pt>
                <c:pt idx="46">
                  <c:v>29.547000000000001</c:v>
                </c:pt>
                <c:pt idx="48">
                  <c:v>93.355999999999995</c:v>
                </c:pt>
                <c:pt idx="49">
                  <c:v>89.24799999999999</c:v>
                </c:pt>
                <c:pt idx="51">
                  <c:v>64.227999999999994</c:v>
                </c:pt>
                <c:pt idx="52">
                  <c:v>63.655999999999992</c:v>
                </c:pt>
                <c:pt idx="54">
                  <c:v>34.613</c:v>
                </c:pt>
                <c:pt idx="55">
                  <c:v>38.066999999999993</c:v>
                </c:pt>
                <c:pt idx="57">
                  <c:v>127.047</c:v>
                </c:pt>
                <c:pt idx="58">
                  <c:v>129.27699999999999</c:v>
                </c:pt>
              </c:numCache>
            </c:numRef>
          </c:xVal>
          <c:yVal>
            <c:numRef>
              <c:f>result!$V$2:$V$61</c:f>
              <c:numCache>
                <c:formatCode>General</c:formatCode>
                <c:ptCount val="60"/>
                <c:pt idx="0">
                  <c:v>120.60599999999999</c:v>
                </c:pt>
                <c:pt idx="1">
                  <c:v>121.71199999999999</c:v>
                </c:pt>
                <c:pt idx="3">
                  <c:v>119.831</c:v>
                </c:pt>
                <c:pt idx="4">
                  <c:v>121.02900000000001</c:v>
                </c:pt>
                <c:pt idx="6">
                  <c:v>118.387</c:v>
                </c:pt>
                <c:pt idx="7">
                  <c:v>115.089</c:v>
                </c:pt>
                <c:pt idx="9">
                  <c:v>110.01</c:v>
                </c:pt>
                <c:pt idx="10">
                  <c:v>95.66200000000002</c:v>
                </c:pt>
                <c:pt idx="12">
                  <c:v>94.254999999999995</c:v>
                </c:pt>
                <c:pt idx="13">
                  <c:v>94.252999999999986</c:v>
                </c:pt>
                <c:pt idx="15">
                  <c:v>93.811000000000007</c:v>
                </c:pt>
                <c:pt idx="16">
                  <c:v>95.045000000000016</c:v>
                </c:pt>
                <c:pt idx="18">
                  <c:v>93.12</c:v>
                </c:pt>
                <c:pt idx="19">
                  <c:v>94.566000000000003</c:v>
                </c:pt>
                <c:pt idx="21">
                  <c:v>91.738</c:v>
                </c:pt>
                <c:pt idx="22">
                  <c:v>88.789999999999992</c:v>
                </c:pt>
                <c:pt idx="24">
                  <c:v>69.245999999999995</c:v>
                </c:pt>
                <c:pt idx="25">
                  <c:v>71.045999999999978</c:v>
                </c:pt>
                <c:pt idx="27">
                  <c:v>68.635000000000005</c:v>
                </c:pt>
                <c:pt idx="28">
                  <c:v>70.111000000000004</c:v>
                </c:pt>
                <c:pt idx="30">
                  <c:v>66.56</c:v>
                </c:pt>
                <c:pt idx="31">
                  <c:v>67.76400000000001</c:v>
                </c:pt>
                <c:pt idx="33">
                  <c:v>64.936999999999998</c:v>
                </c:pt>
                <c:pt idx="34">
                  <c:v>61.938999999999979</c:v>
                </c:pt>
                <c:pt idx="36">
                  <c:v>43.911000000000001</c:v>
                </c:pt>
                <c:pt idx="37">
                  <c:v>46.887</c:v>
                </c:pt>
                <c:pt idx="39">
                  <c:v>43.296999999999997</c:v>
                </c:pt>
                <c:pt idx="40">
                  <c:v>46.758999999999986</c:v>
                </c:pt>
                <c:pt idx="42">
                  <c:v>39.914999999999999</c:v>
                </c:pt>
                <c:pt idx="43">
                  <c:v>40.234999999999992</c:v>
                </c:pt>
                <c:pt idx="45">
                  <c:v>36.097999999999999</c:v>
                </c:pt>
                <c:pt idx="46">
                  <c:v>31.801999999999992</c:v>
                </c:pt>
                <c:pt idx="48">
                  <c:v>18.591999999999999</c:v>
                </c:pt>
                <c:pt idx="49">
                  <c:v>23.147999999999996</c:v>
                </c:pt>
                <c:pt idx="51">
                  <c:v>16.413</c:v>
                </c:pt>
                <c:pt idx="52">
                  <c:v>20.835000000000001</c:v>
                </c:pt>
                <c:pt idx="54">
                  <c:v>16.141999999999999</c:v>
                </c:pt>
                <c:pt idx="55">
                  <c:v>21.475999999999999</c:v>
                </c:pt>
                <c:pt idx="57">
                  <c:v>15.714</c:v>
                </c:pt>
                <c:pt idx="58">
                  <c:v>16.112000000000002</c:v>
                </c:pt>
              </c:numCache>
            </c:numRef>
          </c:yVal>
        </c:ser>
        <c:axId val="72712960"/>
        <c:axId val="72714496"/>
      </c:scatterChart>
      <c:valAx>
        <c:axId val="72712960"/>
        <c:scaling>
          <c:orientation val="minMax"/>
          <c:max val="140"/>
          <c:min val="0"/>
        </c:scaling>
        <c:axPos val="b"/>
        <c:numFmt formatCode="General" sourceLinked="1"/>
        <c:tickLblPos val="nextTo"/>
        <c:crossAx val="72714496"/>
        <c:crosses val="autoZero"/>
        <c:crossBetween val="midCat"/>
      </c:valAx>
      <c:valAx>
        <c:axId val="72714496"/>
        <c:scaling>
          <c:orientation val="minMax"/>
          <c:max val="140"/>
          <c:min val="0"/>
        </c:scaling>
        <c:axPos val="l"/>
        <c:majorGridlines/>
        <c:numFmt formatCode="General" sourceLinked="1"/>
        <c:tickLblPos val="nextTo"/>
        <c:crossAx val="72712960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146050</xdr:colOff>
      <xdr:row>5</xdr:row>
      <xdr:rowOff>19050</xdr:rowOff>
    </xdr:from>
    <xdr:to>
      <xdr:col>18</xdr:col>
      <xdr:colOff>31750</xdr:colOff>
      <xdr:row>20</xdr:row>
      <xdr:rowOff>133350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21"/>
  <sheetViews>
    <sheetView workbookViewId="0">
      <selection sqref="A1:I21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>
        <v>2</v>
      </c>
      <c r="B2">
        <v>273</v>
      </c>
      <c r="C2">
        <v>255</v>
      </c>
      <c r="D2">
        <v>255</v>
      </c>
      <c r="E2">
        <v>63.947000000000003</v>
      </c>
      <c r="F2">
        <v>120.053</v>
      </c>
      <c r="G2">
        <v>19.172999999999998</v>
      </c>
      <c r="H2">
        <v>18.129000000000001</v>
      </c>
      <c r="I2">
        <v>119.70099999999999</v>
      </c>
    </row>
    <row r="3" spans="1:9">
      <c r="A3">
        <v>1</v>
      </c>
      <c r="B3">
        <v>345</v>
      </c>
      <c r="C3">
        <v>255</v>
      </c>
      <c r="D3">
        <v>255</v>
      </c>
      <c r="E3">
        <v>125.01</v>
      </c>
      <c r="F3">
        <v>120.036</v>
      </c>
      <c r="G3">
        <v>22.106999999999999</v>
      </c>
      <c r="H3">
        <v>19.87</v>
      </c>
      <c r="I3">
        <v>25.332000000000001</v>
      </c>
    </row>
    <row r="4" spans="1:9">
      <c r="A4">
        <v>4</v>
      </c>
      <c r="B4">
        <v>276</v>
      </c>
      <c r="C4">
        <v>255</v>
      </c>
      <c r="D4">
        <v>255</v>
      </c>
      <c r="E4">
        <v>31.547000000000001</v>
      </c>
      <c r="F4">
        <v>119.232</v>
      </c>
      <c r="G4">
        <v>19.084</v>
      </c>
      <c r="H4">
        <v>18.414000000000001</v>
      </c>
      <c r="I4">
        <v>77.063999999999993</v>
      </c>
    </row>
    <row r="5" spans="1:9">
      <c r="A5">
        <v>3</v>
      </c>
      <c r="B5">
        <v>389</v>
      </c>
      <c r="C5">
        <v>255</v>
      </c>
      <c r="D5">
        <v>255</v>
      </c>
      <c r="E5">
        <v>97.796000000000006</v>
      </c>
      <c r="F5">
        <v>117.184</v>
      </c>
      <c r="G5">
        <v>22.853999999999999</v>
      </c>
      <c r="H5">
        <v>21.672000000000001</v>
      </c>
      <c r="I5">
        <v>117.77500000000001</v>
      </c>
    </row>
    <row r="6" spans="1:9">
      <c r="A6">
        <v>5</v>
      </c>
      <c r="B6">
        <v>357</v>
      </c>
      <c r="C6">
        <v>255</v>
      </c>
      <c r="D6">
        <v>255</v>
      </c>
      <c r="E6">
        <v>109.783</v>
      </c>
      <c r="F6">
        <v>94.256</v>
      </c>
      <c r="G6">
        <v>24.013000000000002</v>
      </c>
      <c r="H6">
        <v>18.928999999999998</v>
      </c>
      <c r="I6">
        <v>32.097000000000001</v>
      </c>
    </row>
    <row r="7" spans="1:9">
      <c r="A7">
        <v>6</v>
      </c>
      <c r="B7">
        <v>358</v>
      </c>
      <c r="C7">
        <v>255</v>
      </c>
      <c r="D7">
        <v>255</v>
      </c>
      <c r="E7">
        <v>82.682000000000002</v>
      </c>
      <c r="F7">
        <v>93.212000000000003</v>
      </c>
      <c r="G7">
        <v>21.885000000000002</v>
      </c>
      <c r="H7">
        <v>20.827999999999999</v>
      </c>
      <c r="I7">
        <v>175.72</v>
      </c>
    </row>
    <row r="8" spans="1:9">
      <c r="A8">
        <v>7</v>
      </c>
      <c r="B8">
        <v>271</v>
      </c>
      <c r="C8">
        <v>255</v>
      </c>
      <c r="D8">
        <v>255</v>
      </c>
      <c r="E8">
        <v>47.982999999999997</v>
      </c>
      <c r="F8">
        <v>93.194000000000003</v>
      </c>
      <c r="G8">
        <v>18.734000000000002</v>
      </c>
      <c r="H8">
        <v>18.417999999999999</v>
      </c>
      <c r="I8">
        <v>127.502</v>
      </c>
    </row>
    <row r="9" spans="1:9">
      <c r="A9">
        <v>8</v>
      </c>
      <c r="B9">
        <v>273</v>
      </c>
      <c r="C9">
        <v>255</v>
      </c>
      <c r="D9">
        <v>255</v>
      </c>
      <c r="E9">
        <v>15.929</v>
      </c>
      <c r="F9">
        <v>92.397000000000006</v>
      </c>
      <c r="G9">
        <v>19.097999999999999</v>
      </c>
      <c r="H9">
        <v>18.2</v>
      </c>
      <c r="I9">
        <v>14.042999999999999</v>
      </c>
    </row>
    <row r="10" spans="1:9">
      <c r="A10">
        <v>9</v>
      </c>
      <c r="B10">
        <v>331</v>
      </c>
      <c r="C10">
        <v>255</v>
      </c>
      <c r="D10">
        <v>255</v>
      </c>
      <c r="E10">
        <v>94.171000000000006</v>
      </c>
      <c r="F10">
        <v>68.346000000000004</v>
      </c>
      <c r="G10">
        <v>20.856000000000002</v>
      </c>
      <c r="H10">
        <v>20.207000000000001</v>
      </c>
      <c r="I10">
        <v>162.28299999999999</v>
      </c>
    </row>
    <row r="11" spans="1:9">
      <c r="A11">
        <v>10</v>
      </c>
      <c r="B11">
        <v>393</v>
      </c>
      <c r="C11">
        <v>255</v>
      </c>
      <c r="D11">
        <v>255</v>
      </c>
      <c r="E11">
        <v>126.63200000000001</v>
      </c>
      <c r="F11">
        <v>67.897000000000006</v>
      </c>
      <c r="G11">
        <v>23.824999999999999</v>
      </c>
      <c r="H11">
        <v>21.003</v>
      </c>
      <c r="I11">
        <v>1.226</v>
      </c>
    </row>
    <row r="12" spans="1:9">
      <c r="A12">
        <v>11</v>
      </c>
      <c r="B12">
        <v>295</v>
      </c>
      <c r="C12">
        <v>255</v>
      </c>
      <c r="D12">
        <v>255</v>
      </c>
      <c r="E12">
        <v>65.11</v>
      </c>
      <c r="F12">
        <v>66.436000000000007</v>
      </c>
      <c r="G12">
        <v>19.891999999999999</v>
      </c>
      <c r="H12">
        <v>18.882000000000001</v>
      </c>
      <c r="I12">
        <v>126.932</v>
      </c>
    </row>
    <row r="13" spans="1:9">
      <c r="A13">
        <v>12</v>
      </c>
      <c r="B13">
        <v>277</v>
      </c>
      <c r="C13">
        <v>255</v>
      </c>
      <c r="D13">
        <v>255</v>
      </c>
      <c r="E13">
        <v>32.027000000000001</v>
      </c>
      <c r="F13">
        <v>65.957999999999998</v>
      </c>
      <c r="G13">
        <v>18.898</v>
      </c>
      <c r="H13">
        <v>18.663</v>
      </c>
      <c r="I13">
        <v>106.129</v>
      </c>
    </row>
    <row r="14" spans="1:9">
      <c r="A14">
        <v>13</v>
      </c>
      <c r="B14">
        <v>376</v>
      </c>
      <c r="C14">
        <v>255</v>
      </c>
      <c r="D14">
        <v>255</v>
      </c>
      <c r="E14">
        <v>109.29</v>
      </c>
      <c r="F14">
        <v>42.423000000000002</v>
      </c>
      <c r="G14">
        <v>23.565999999999999</v>
      </c>
      <c r="H14">
        <v>20.315000000000001</v>
      </c>
      <c r="I14">
        <v>106.65300000000001</v>
      </c>
    </row>
    <row r="15" spans="1:9">
      <c r="A15">
        <v>14</v>
      </c>
      <c r="B15">
        <v>302</v>
      </c>
      <c r="C15">
        <v>255</v>
      </c>
      <c r="D15">
        <v>255</v>
      </c>
      <c r="E15">
        <v>79.605999999999995</v>
      </c>
      <c r="F15">
        <v>41.566000000000003</v>
      </c>
      <c r="G15">
        <v>20.123000000000001</v>
      </c>
      <c r="H15">
        <v>19.109000000000002</v>
      </c>
      <c r="I15">
        <v>108.259</v>
      </c>
    </row>
    <row r="16" spans="1:9">
      <c r="A16">
        <v>15</v>
      </c>
      <c r="B16">
        <v>274</v>
      </c>
      <c r="C16">
        <v>255</v>
      </c>
      <c r="D16">
        <v>255</v>
      </c>
      <c r="E16">
        <v>48.317999999999998</v>
      </c>
      <c r="F16">
        <v>39.755000000000003</v>
      </c>
      <c r="G16">
        <v>19.567</v>
      </c>
      <c r="H16">
        <v>17.829000000000001</v>
      </c>
      <c r="I16">
        <v>20.702000000000002</v>
      </c>
    </row>
    <row r="17" spans="1:9">
      <c r="A17">
        <v>16</v>
      </c>
      <c r="B17">
        <v>287</v>
      </c>
      <c r="C17">
        <v>255</v>
      </c>
      <c r="D17">
        <v>255</v>
      </c>
      <c r="E17">
        <v>17.579999999999998</v>
      </c>
      <c r="F17">
        <v>38.246000000000002</v>
      </c>
      <c r="G17">
        <v>19.655000000000001</v>
      </c>
      <c r="H17">
        <v>18.591999999999999</v>
      </c>
      <c r="I17">
        <v>145.995</v>
      </c>
    </row>
    <row r="18" spans="1:9">
      <c r="A18">
        <v>17</v>
      </c>
      <c r="B18">
        <v>377</v>
      </c>
      <c r="C18">
        <v>255</v>
      </c>
      <c r="D18">
        <v>255</v>
      </c>
      <c r="E18">
        <v>95.41</v>
      </c>
      <c r="F18">
        <v>16.314</v>
      </c>
      <c r="G18">
        <v>24.039000000000001</v>
      </c>
      <c r="H18">
        <v>19.968</v>
      </c>
      <c r="I18">
        <v>25.448</v>
      </c>
    </row>
    <row r="19" spans="1:9">
      <c r="A19">
        <v>18</v>
      </c>
      <c r="B19">
        <v>407</v>
      </c>
      <c r="C19">
        <v>255</v>
      </c>
      <c r="D19">
        <v>255</v>
      </c>
      <c r="E19">
        <v>125.932</v>
      </c>
      <c r="F19">
        <v>15.515000000000001</v>
      </c>
      <c r="G19">
        <v>24.332999999999998</v>
      </c>
      <c r="H19">
        <v>21.297000000000001</v>
      </c>
      <c r="I19">
        <v>162.767</v>
      </c>
    </row>
    <row r="20" spans="1:9">
      <c r="A20">
        <v>19</v>
      </c>
      <c r="B20">
        <v>282</v>
      </c>
      <c r="C20">
        <v>255</v>
      </c>
      <c r="D20">
        <v>255</v>
      </c>
      <c r="E20">
        <v>64.513999999999996</v>
      </c>
      <c r="F20">
        <v>14.202</v>
      </c>
      <c r="G20">
        <v>19.401</v>
      </c>
      <c r="H20">
        <v>18.507000000000001</v>
      </c>
      <c r="I20">
        <v>88.653000000000006</v>
      </c>
    </row>
    <row r="21" spans="1:9">
      <c r="A21">
        <v>20</v>
      </c>
      <c r="B21">
        <v>285</v>
      </c>
      <c r="C21">
        <v>255</v>
      </c>
      <c r="D21">
        <v>255</v>
      </c>
      <c r="E21">
        <v>32.886000000000003</v>
      </c>
      <c r="F21">
        <v>13.475</v>
      </c>
      <c r="G21">
        <v>19.286000000000001</v>
      </c>
      <c r="H21">
        <v>18.815000000000001</v>
      </c>
      <c r="I21">
        <v>86.481999999999999</v>
      </c>
    </row>
  </sheetData>
  <sortState ref="A1:I21">
    <sortCondition descending="1" ref="F2:F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5"/>
  <dimension ref="A1:V61"/>
  <sheetViews>
    <sheetView tabSelected="1" workbookViewId="0">
      <selection activeCell="C2" sqref="C2"/>
    </sheetView>
  </sheetViews>
  <sheetFormatPr defaultRowHeight="15"/>
  <sheetData>
    <row r="1" spans="1:22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>
      <c r="A2">
        <v>64.361000000000004</v>
      </c>
      <c r="B2">
        <v>2.4788908064146402</v>
      </c>
      <c r="C2">
        <v>64.361000000000004</v>
      </c>
      <c r="D2">
        <v>120.60599999999999</v>
      </c>
      <c r="E2">
        <f t="shared" ref="E2:E21" si="0">XB + (XT - XB) *3</f>
        <v>65.189000000000007</v>
      </c>
      <c r="F2">
        <f t="shared" ref="F2:F21" si="1">YB + (YT - YB) *3</f>
        <v>121.71199999999999</v>
      </c>
      <c r="G2">
        <v>1.7966671882334535</v>
      </c>
      <c r="H2">
        <v>1.7566499765294947</v>
      </c>
      <c r="I2">
        <v>3.7596510563955374</v>
      </c>
      <c r="J2">
        <v>63.947000000000003</v>
      </c>
      <c r="K2">
        <v>120.053</v>
      </c>
      <c r="L2">
        <v>2.25</v>
      </c>
      <c r="M2">
        <v>2.1274839618213117</v>
      </c>
      <c r="N2">
        <f t="shared" ref="N2:N21" si="2">SQRT((XT - XB)^2 + (YT - YB)^2)</f>
        <v>0.69080026056740762</v>
      </c>
      <c r="O2">
        <f t="shared" ref="O2:O21" si="3">ATAN((YT - YB) / (XT - XB))</f>
        <v>0.92816377597659572</v>
      </c>
      <c r="P2">
        <f t="shared" ref="P2:P21" si="4">((3*PI()*750*250) * MajorB * MinorB* ((MajorB^2)*(COS(Theta)^2) + (MinorB^2)*(SIN(Theta)^2)))</f>
        <v>39916642.358929098</v>
      </c>
      <c r="Q2">
        <f t="shared" ref="Q2:Q21" si="5">(((4 *0.964285714285714*250* (7^3)) + 3 *750*7*((MajorB^2)*(COS(Theta)^2) + (MinorB^2)*(SIN(Theta)^2))))</f>
        <v>405071.30873744166</v>
      </c>
      <c r="R2">
        <f t="shared" ref="R2:R21" si="6">kn/kd</f>
        <v>98.542260332741037</v>
      </c>
      <c r="S2">
        <f t="shared" ref="S2:S21" si="7">k*Displacement</f>
        <v>68.073019114758822</v>
      </c>
      <c r="T2">
        <v>0</v>
      </c>
      <c r="U2">
        <v>64.361000000000004</v>
      </c>
      <c r="V2">
        <v>120.60599999999999</v>
      </c>
    </row>
    <row r="3" spans="1:22">
      <c r="A3">
        <v>64.361000000000004</v>
      </c>
      <c r="B3">
        <v>2.5159661589018505</v>
      </c>
      <c r="C3">
        <v>31.754000000000001</v>
      </c>
      <c r="D3">
        <v>119.831</v>
      </c>
      <c r="E3">
        <f t="shared" si="0"/>
        <v>32.168000000000006</v>
      </c>
      <c r="F3">
        <f t="shared" si="1"/>
        <v>121.02900000000001</v>
      </c>
      <c r="G3">
        <v>1.8145959966464054</v>
      </c>
      <c r="H3">
        <v>1.7654317753091595</v>
      </c>
      <c r="I3">
        <v>3.8365008831873526</v>
      </c>
      <c r="J3">
        <v>31.547000000000001</v>
      </c>
      <c r="K3">
        <v>119.232</v>
      </c>
      <c r="L3">
        <v>2.25</v>
      </c>
      <c r="M3">
        <v>2.1710071263885982</v>
      </c>
      <c r="N3">
        <f t="shared" si="2"/>
        <v>0.63375862913257819</v>
      </c>
      <c r="O3">
        <f t="shared" si="3"/>
        <v>1.2380681694694717</v>
      </c>
      <c r="P3">
        <f t="shared" si="4"/>
        <v>41007008.59612716</v>
      </c>
      <c r="Q3">
        <f t="shared" si="5"/>
        <v>405570.82296660054</v>
      </c>
      <c r="R3">
        <f t="shared" si="6"/>
        <v>101.10936555094388</v>
      </c>
      <c r="S3">
        <f t="shared" si="7"/>
        <v>64.078932904030921</v>
      </c>
      <c r="T3">
        <v>0</v>
      </c>
      <c r="U3">
        <v>65.189000000000007</v>
      </c>
      <c r="V3">
        <v>121.71199999999999</v>
      </c>
    </row>
    <row r="4" spans="1:22">
      <c r="A4">
        <v>64.361000000000004</v>
      </c>
      <c r="B4">
        <v>1.5538055658595245</v>
      </c>
      <c r="C4">
        <v>120.887</v>
      </c>
      <c r="D4">
        <v>118.387</v>
      </c>
      <c r="E4">
        <f t="shared" si="0"/>
        <v>112.64099999999999</v>
      </c>
      <c r="F4">
        <f t="shared" si="1"/>
        <v>115.089</v>
      </c>
      <c r="G4">
        <v>1.6091057131225404</v>
      </c>
      <c r="H4">
        <v>1.2294748269778804</v>
      </c>
      <c r="I4">
        <v>3.573752801476906</v>
      </c>
      <c r="J4">
        <v>125.01</v>
      </c>
      <c r="K4">
        <v>120.036</v>
      </c>
      <c r="L4">
        <v>2.25</v>
      </c>
      <c r="M4">
        <v>2.0223232460306693</v>
      </c>
      <c r="N4">
        <f t="shared" si="2"/>
        <v>4.4405326257105733</v>
      </c>
      <c r="O4">
        <f t="shared" si="3"/>
        <v>0.38046455885453773</v>
      </c>
      <c r="P4">
        <f t="shared" si="4"/>
        <v>39628536.448395647</v>
      </c>
      <c r="Q4">
        <f t="shared" si="5"/>
        <v>408371.69104508247</v>
      </c>
      <c r="R4">
        <f t="shared" si="6"/>
        <v>97.040361311481874</v>
      </c>
      <c r="S4">
        <f t="shared" si="7"/>
        <v>430.91089041437732</v>
      </c>
      <c r="T4">
        <v>0</v>
      </c>
    </row>
    <row r="5" spans="1:22">
      <c r="A5">
        <v>64.361000000000004</v>
      </c>
      <c r="B5">
        <v>1.4829688235453458</v>
      </c>
      <c r="C5">
        <v>100.38200000000001</v>
      </c>
      <c r="D5">
        <v>110.01</v>
      </c>
      <c r="E5">
        <f t="shared" si="0"/>
        <v>105.554</v>
      </c>
      <c r="F5">
        <f t="shared" si="1"/>
        <v>95.66200000000002</v>
      </c>
      <c r="G5">
        <v>1.4408309267524284</v>
      </c>
      <c r="H5">
        <v>1.3104817537411395</v>
      </c>
      <c r="I5">
        <v>3.7704240023473168</v>
      </c>
      <c r="J5">
        <v>97.796000000000006</v>
      </c>
      <c r="K5">
        <v>117.184</v>
      </c>
      <c r="L5">
        <v>2.25</v>
      </c>
      <c r="M5">
        <v>2.1336308742452088</v>
      </c>
      <c r="N5">
        <f t="shared" si="2"/>
        <v>7.6258554929922377</v>
      </c>
      <c r="O5">
        <f t="shared" si="3"/>
        <v>-1.224826185276731</v>
      </c>
      <c r="P5">
        <f t="shared" si="4"/>
        <v>39117697.413062759</v>
      </c>
      <c r="Q5">
        <f t="shared" si="5"/>
        <v>403373.9115419013</v>
      </c>
      <c r="R5">
        <f t="shared" si="6"/>
        <v>96.976270139868291</v>
      </c>
      <c r="S5">
        <f t="shared" si="7"/>
        <v>739.52702233601372</v>
      </c>
      <c r="T5">
        <v>1</v>
      </c>
      <c r="U5">
        <v>31.754000000000001</v>
      </c>
      <c r="V5">
        <v>119.831</v>
      </c>
    </row>
    <row r="6" spans="1:22">
      <c r="A6">
        <v>64.361000000000004</v>
      </c>
      <c r="B6">
        <v>1.3257118606833838</v>
      </c>
      <c r="C6">
        <v>104.60599999999999</v>
      </c>
      <c r="D6">
        <v>94.254999999999995</v>
      </c>
      <c r="E6">
        <f t="shared" si="0"/>
        <v>94.251999999999981</v>
      </c>
      <c r="F6">
        <f t="shared" si="1"/>
        <v>94.252999999999986</v>
      </c>
      <c r="G6">
        <v>1.3835630700037478</v>
      </c>
      <c r="H6">
        <v>1.2199641860658808</v>
      </c>
      <c r="I6">
        <v>3.134298902410384</v>
      </c>
      <c r="J6">
        <v>109.783</v>
      </c>
      <c r="K6">
        <v>94.256</v>
      </c>
      <c r="L6">
        <v>2.25</v>
      </c>
      <c r="M6">
        <v>1.7736330321076081</v>
      </c>
      <c r="N6">
        <f t="shared" si="2"/>
        <v>5.1770000965810379</v>
      </c>
      <c r="O6">
        <f t="shared" si="3"/>
        <v>1.9316206056936057E-4</v>
      </c>
      <c r="P6">
        <f t="shared" si="4"/>
        <v>35701274.16133631</v>
      </c>
      <c r="Q6">
        <f t="shared" si="5"/>
        <v>410484.37387362175</v>
      </c>
      <c r="R6">
        <f t="shared" si="6"/>
        <v>86.973527943180301</v>
      </c>
      <c r="S6">
        <f t="shared" si="7"/>
        <v>450.261962561838</v>
      </c>
      <c r="T6">
        <v>1</v>
      </c>
      <c r="U6">
        <v>32.168000000000006</v>
      </c>
      <c r="V6">
        <v>121.02900000000001</v>
      </c>
    </row>
    <row r="7" spans="1:22">
      <c r="A7">
        <v>64.361000000000004</v>
      </c>
      <c r="B7">
        <v>2.5964293487597296</v>
      </c>
      <c r="C7">
        <v>48.283000000000001</v>
      </c>
      <c r="D7">
        <v>93.811000000000007</v>
      </c>
      <c r="E7">
        <f t="shared" si="0"/>
        <v>48.88300000000001</v>
      </c>
      <c r="F7">
        <f t="shared" si="1"/>
        <v>95.045000000000016</v>
      </c>
      <c r="G7">
        <v>1.8333644710152663</v>
      </c>
      <c r="H7">
        <v>1.8030986441763637</v>
      </c>
      <c r="I7">
        <v>3.9090686306327043</v>
      </c>
      <c r="J7">
        <v>47.982999999999997</v>
      </c>
      <c r="K7">
        <v>93.194000000000003</v>
      </c>
      <c r="L7">
        <v>2.25</v>
      </c>
      <c r="M7">
        <v>2.2120476139639158</v>
      </c>
      <c r="N7">
        <f t="shared" si="2"/>
        <v>0.68606778090798581</v>
      </c>
      <c r="O7">
        <f t="shared" si="3"/>
        <v>1.1182304023485108</v>
      </c>
      <c r="P7">
        <f t="shared" si="4"/>
        <v>43321431.504149362</v>
      </c>
      <c r="Q7">
        <f t="shared" si="5"/>
        <v>408327.1764368799</v>
      </c>
      <c r="R7">
        <f t="shared" si="6"/>
        <v>106.0949013538071</v>
      </c>
      <c r="S7">
        <f t="shared" si="7"/>
        <v>72.788293537458102</v>
      </c>
      <c r="T7">
        <v>1</v>
      </c>
    </row>
    <row r="8" spans="1:22">
      <c r="A8">
        <v>64.361000000000004</v>
      </c>
      <c r="B8">
        <v>2.4845188106111551</v>
      </c>
      <c r="C8">
        <v>16.074999999999999</v>
      </c>
      <c r="D8">
        <v>93.12</v>
      </c>
      <c r="E8">
        <f t="shared" si="0"/>
        <v>16.366999999999997</v>
      </c>
      <c r="F8">
        <f t="shared" si="1"/>
        <v>94.566000000000003</v>
      </c>
      <c r="G8">
        <v>1.8371819038642789</v>
      </c>
      <c r="H8">
        <v>1.7219604147031102</v>
      </c>
      <c r="I8">
        <v>3.7892381860158957</v>
      </c>
      <c r="J8">
        <v>15.929</v>
      </c>
      <c r="K8">
        <v>92.397000000000006</v>
      </c>
      <c r="L8">
        <v>2.25</v>
      </c>
      <c r="M8">
        <v>2.1442035815268614</v>
      </c>
      <c r="N8">
        <f t="shared" si="2"/>
        <v>0.73759406179822129</v>
      </c>
      <c r="O8">
        <f t="shared" si="3"/>
        <v>1.3715395619683788</v>
      </c>
      <c r="P8">
        <f t="shared" si="4"/>
        <v>39352302.441429503</v>
      </c>
      <c r="Q8">
        <f t="shared" si="5"/>
        <v>403449.22326309636</v>
      </c>
      <c r="R8">
        <f t="shared" si="6"/>
        <v>97.539665891901279</v>
      </c>
      <c r="S8">
        <f t="shared" si="7"/>
        <v>71.944678351648889</v>
      </c>
      <c r="T8">
        <v>2</v>
      </c>
      <c r="U8">
        <v>120.887</v>
      </c>
      <c r="V8">
        <v>118.387</v>
      </c>
    </row>
    <row r="9" spans="1:22">
      <c r="A9">
        <v>64.361000000000004</v>
      </c>
      <c r="B9">
        <v>1.7757475168895667</v>
      </c>
      <c r="C9">
        <v>87.554000000000002</v>
      </c>
      <c r="D9">
        <v>91.738</v>
      </c>
      <c r="E9">
        <f t="shared" si="0"/>
        <v>97.298000000000002</v>
      </c>
      <c r="F9">
        <f t="shared" si="1"/>
        <v>88.789999999999992</v>
      </c>
      <c r="G9">
        <v>1.624605894448252</v>
      </c>
      <c r="H9">
        <v>1.3917409184372858</v>
      </c>
      <c r="I9">
        <v>3.7840333990861001</v>
      </c>
      <c r="J9">
        <v>82.682000000000002</v>
      </c>
      <c r="K9">
        <v>93.212000000000003</v>
      </c>
      <c r="L9">
        <v>2.25</v>
      </c>
      <c r="M9">
        <v>2.1413296778615489</v>
      </c>
      <c r="N9">
        <f t="shared" si="2"/>
        <v>5.0900943016804714</v>
      </c>
      <c r="O9">
        <f t="shared" si="3"/>
        <v>-0.29379016121145779</v>
      </c>
      <c r="P9">
        <f t="shared" si="4"/>
        <v>42761889.125709198</v>
      </c>
      <c r="Q9">
        <f t="shared" si="5"/>
        <v>409854.09886121564</v>
      </c>
      <c r="R9">
        <f t="shared" si="6"/>
        <v>104.33441862488043</v>
      </c>
      <c r="S9">
        <f t="shared" si="7"/>
        <v>531.07202971164872</v>
      </c>
      <c r="T9">
        <v>2</v>
      </c>
      <c r="U9">
        <v>112.64099999999999</v>
      </c>
      <c r="V9">
        <v>115.089</v>
      </c>
    </row>
    <row r="10" spans="1:22">
      <c r="A10">
        <v>64.361000000000004</v>
      </c>
      <c r="B10">
        <v>1.6526897906539133</v>
      </c>
      <c r="C10">
        <v>92.796000000000006</v>
      </c>
      <c r="D10">
        <v>69.245999999999995</v>
      </c>
      <c r="E10">
        <f t="shared" si="0"/>
        <v>90.046000000000006</v>
      </c>
      <c r="F10">
        <f t="shared" si="1"/>
        <v>71.045999999999978</v>
      </c>
      <c r="G10">
        <v>1.4892117376294591</v>
      </c>
      <c r="H10">
        <v>1.4129387226697352</v>
      </c>
      <c r="I10">
        <v>3.8523966246932764</v>
      </c>
      <c r="J10">
        <v>94.171000000000006</v>
      </c>
      <c r="K10">
        <v>68.346000000000004</v>
      </c>
      <c r="L10">
        <v>2.25</v>
      </c>
      <c r="M10">
        <v>2.1799841772151898</v>
      </c>
      <c r="N10">
        <f t="shared" si="2"/>
        <v>1.6433578429544748</v>
      </c>
      <c r="O10">
        <f t="shared" si="3"/>
        <v>-0.57956398529331876</v>
      </c>
      <c r="P10">
        <f t="shared" si="4"/>
        <v>43074317.553449832</v>
      </c>
      <c r="Q10">
        <f t="shared" si="5"/>
        <v>409019.16570481134</v>
      </c>
      <c r="R10">
        <f t="shared" si="6"/>
        <v>105.3112449614073</v>
      </c>
      <c r="S10">
        <f t="shared" si="7"/>
        <v>173.06406035862861</v>
      </c>
      <c r="T10">
        <v>2</v>
      </c>
    </row>
    <row r="11" spans="1:22">
      <c r="A11">
        <v>64.361000000000004</v>
      </c>
      <c r="B11">
        <v>2.3188495159153897</v>
      </c>
      <c r="C11">
        <v>127.023</v>
      </c>
      <c r="D11">
        <v>68.635000000000005</v>
      </c>
      <c r="E11">
        <f t="shared" si="0"/>
        <v>127.80499999999998</v>
      </c>
      <c r="F11">
        <f t="shared" si="1"/>
        <v>70.111000000000004</v>
      </c>
      <c r="G11">
        <v>1.7348373557187831</v>
      </c>
      <c r="H11">
        <v>1.7018782791185731</v>
      </c>
      <c r="I11">
        <v>3.5050302298259544</v>
      </c>
      <c r="J11">
        <v>126.63200000000001</v>
      </c>
      <c r="K11">
        <v>67.897000000000006</v>
      </c>
      <c r="L11">
        <v>2.25</v>
      </c>
      <c r="M11">
        <v>1.9834942287513118</v>
      </c>
      <c r="N11">
        <f t="shared" si="2"/>
        <v>0.83517962139888946</v>
      </c>
      <c r="O11">
        <f t="shared" si="3"/>
        <v>1.083585859388333</v>
      </c>
      <c r="P11">
        <f t="shared" si="4"/>
        <v>32977795.454245456</v>
      </c>
      <c r="Q11">
        <f t="shared" si="5"/>
        <v>396609.18003429816</v>
      </c>
      <c r="R11">
        <f t="shared" si="6"/>
        <v>83.149349824413008</v>
      </c>
      <c r="S11">
        <f t="shared" si="7"/>
        <v>69.444642505917074</v>
      </c>
      <c r="T11">
        <v>3</v>
      </c>
      <c r="U11">
        <v>100.38200000000001</v>
      </c>
      <c r="V11">
        <v>110.01</v>
      </c>
    </row>
    <row r="12" spans="1:22">
      <c r="A12">
        <v>64.361000000000004</v>
      </c>
      <c r="B12">
        <v>2.6082617344253394</v>
      </c>
      <c r="C12">
        <v>32.478000000000002</v>
      </c>
      <c r="D12">
        <v>66.56</v>
      </c>
      <c r="E12">
        <f t="shared" si="0"/>
        <v>33.380000000000003</v>
      </c>
      <c r="F12">
        <f t="shared" si="1"/>
        <v>67.76400000000001</v>
      </c>
      <c r="G12">
        <v>1.8716266271563129</v>
      </c>
      <c r="H12">
        <v>1.7744734892581224</v>
      </c>
      <c r="I12">
        <v>3.9265679371511903</v>
      </c>
      <c r="J12">
        <v>32.027000000000001</v>
      </c>
      <c r="K12">
        <v>65.957999999999998</v>
      </c>
      <c r="L12">
        <v>2.25</v>
      </c>
      <c r="M12">
        <v>2.2220208487670652</v>
      </c>
      <c r="N12">
        <f t="shared" si="2"/>
        <v>0.75220010635468881</v>
      </c>
      <c r="O12">
        <f t="shared" si="3"/>
        <v>0.92782699141599334</v>
      </c>
      <c r="P12">
        <f t="shared" si="4"/>
        <v>44018770.354895875</v>
      </c>
      <c r="Q12">
        <f t="shared" si="5"/>
        <v>409222.12576845166</v>
      </c>
      <c r="R12">
        <f t="shared" si="6"/>
        <v>107.56693634840951</v>
      </c>
      <c r="S12">
        <f t="shared" si="7"/>
        <v>80.911860961521683</v>
      </c>
      <c r="T12">
        <v>3</v>
      </c>
      <c r="U12">
        <v>105.554</v>
      </c>
      <c r="V12">
        <v>95.66200000000002</v>
      </c>
    </row>
    <row r="13" spans="1:22">
      <c r="A13">
        <v>64.361000000000004</v>
      </c>
      <c r="B13">
        <v>2.021460325734838</v>
      </c>
      <c r="C13">
        <v>71.828999999999994</v>
      </c>
      <c r="D13">
        <v>64.936999999999998</v>
      </c>
      <c r="E13">
        <f t="shared" si="0"/>
        <v>85.266999999999982</v>
      </c>
      <c r="F13">
        <f t="shared" si="1"/>
        <v>61.938999999999979</v>
      </c>
      <c r="G13">
        <v>1.6756233661773579</v>
      </c>
      <c r="H13">
        <v>1.5360446410617334</v>
      </c>
      <c r="I13">
        <v>3.7742455448846659</v>
      </c>
      <c r="J13">
        <v>65.11</v>
      </c>
      <c r="K13">
        <v>66.436000000000007</v>
      </c>
      <c r="L13">
        <v>2.25</v>
      </c>
      <c r="M13">
        <v>2.1357580937060128</v>
      </c>
      <c r="N13">
        <f t="shared" si="2"/>
        <v>6.8841820138633718</v>
      </c>
      <c r="O13">
        <f t="shared" si="3"/>
        <v>-0.21950399901296869</v>
      </c>
      <c r="P13">
        <f t="shared" si="4"/>
        <v>42788719.925890371</v>
      </c>
      <c r="Q13">
        <f t="shared" si="5"/>
        <v>410110.22198426235</v>
      </c>
      <c r="R13">
        <f t="shared" si="6"/>
        <v>104.33468280518098</v>
      </c>
      <c r="S13">
        <f t="shared" si="7"/>
        <v>718.25894678956683</v>
      </c>
      <c r="T13">
        <v>3</v>
      </c>
    </row>
    <row r="14" spans="1:22">
      <c r="A14">
        <v>64.361000000000004</v>
      </c>
      <c r="B14">
        <v>1.6864171803950689</v>
      </c>
      <c r="C14">
        <v>106.268</v>
      </c>
      <c r="D14">
        <v>43.911000000000001</v>
      </c>
      <c r="E14">
        <f t="shared" si="0"/>
        <v>100.22399999999999</v>
      </c>
      <c r="F14">
        <f t="shared" si="1"/>
        <v>46.887</v>
      </c>
      <c r="G14">
        <v>1.6013324280743444</v>
      </c>
      <c r="H14">
        <v>1.3408724433505899</v>
      </c>
      <c r="I14">
        <v>3.4275289720461939</v>
      </c>
      <c r="J14">
        <v>109.29</v>
      </c>
      <c r="K14">
        <v>42.423000000000002</v>
      </c>
      <c r="L14">
        <v>2.25</v>
      </c>
      <c r="M14">
        <v>1.9396057879996607</v>
      </c>
      <c r="N14">
        <f t="shared" si="2"/>
        <v>3.3684756196238133</v>
      </c>
      <c r="O14">
        <f t="shared" si="3"/>
        <v>-0.4575404093064841</v>
      </c>
      <c r="P14">
        <f t="shared" si="4"/>
        <v>37085107.741240986</v>
      </c>
      <c r="Q14">
        <f t="shared" si="5"/>
        <v>406487.63056467066</v>
      </c>
      <c r="R14">
        <f t="shared" si="6"/>
        <v>91.233053487321015</v>
      </c>
      <c r="S14">
        <f t="shared" si="7"/>
        <v>307.31631637587617</v>
      </c>
      <c r="T14">
        <v>4</v>
      </c>
      <c r="U14">
        <v>104.60599999999999</v>
      </c>
      <c r="V14">
        <v>94.254999999999995</v>
      </c>
    </row>
    <row r="15" spans="1:22">
      <c r="A15">
        <v>64.361000000000004</v>
      </c>
      <c r="B15">
        <v>2.1503444320830951</v>
      </c>
      <c r="C15">
        <v>79.174000000000007</v>
      </c>
      <c r="D15">
        <v>43.296999999999997</v>
      </c>
      <c r="E15">
        <f t="shared" si="0"/>
        <v>78.310000000000031</v>
      </c>
      <c r="F15">
        <f t="shared" si="1"/>
        <v>46.758999999999986</v>
      </c>
      <c r="G15">
        <v>1.6821050539184017</v>
      </c>
      <c r="H15">
        <v>1.6277642498633402</v>
      </c>
      <c r="I15">
        <v>3.7756047586575274</v>
      </c>
      <c r="J15">
        <v>79.605999999999995</v>
      </c>
      <c r="K15">
        <v>41.566000000000003</v>
      </c>
      <c r="L15">
        <v>2.25</v>
      </c>
      <c r="M15">
        <v>2.1366222730209214</v>
      </c>
      <c r="N15">
        <f t="shared" si="2"/>
        <v>1.7840922061373314</v>
      </c>
      <c r="O15">
        <f t="shared" si="3"/>
        <v>-1.3262254939880049</v>
      </c>
      <c r="P15">
        <f t="shared" si="4"/>
        <v>39030438.80369179</v>
      </c>
      <c r="Q15">
        <f t="shared" si="5"/>
        <v>403110.4606777039</v>
      </c>
      <c r="R15">
        <f t="shared" si="6"/>
        <v>96.82318523333366</v>
      </c>
      <c r="S15">
        <f t="shared" si="7"/>
        <v>172.74149014818175</v>
      </c>
      <c r="T15">
        <v>4</v>
      </c>
      <c r="U15">
        <v>94.251999999999981</v>
      </c>
      <c r="V15">
        <v>94.252999999999986</v>
      </c>
    </row>
    <row r="16" spans="1:22">
      <c r="A16">
        <v>64.361000000000004</v>
      </c>
      <c r="B16">
        <v>2.2610629653122625</v>
      </c>
      <c r="C16">
        <v>48.167000000000002</v>
      </c>
      <c r="D16">
        <v>39.914999999999999</v>
      </c>
      <c r="E16">
        <f t="shared" si="0"/>
        <v>47.865000000000009</v>
      </c>
      <c r="F16">
        <f t="shared" si="1"/>
        <v>40.234999999999992</v>
      </c>
      <c r="G16">
        <v>1.7522103541677314</v>
      </c>
      <c r="H16">
        <v>1.642970307149793</v>
      </c>
      <c r="I16">
        <v>3.6229897806757889</v>
      </c>
      <c r="J16">
        <v>48.317999999999998</v>
      </c>
      <c r="K16">
        <v>39.755000000000003</v>
      </c>
      <c r="L16">
        <v>2.25</v>
      </c>
      <c r="M16">
        <v>2.0501482087187615</v>
      </c>
      <c r="N16">
        <f t="shared" si="2"/>
        <v>0.2200022727155285</v>
      </c>
      <c r="O16">
        <f t="shared" si="3"/>
        <v>-0.81432899581122775</v>
      </c>
      <c r="P16">
        <f t="shared" si="4"/>
        <v>37561971.918659113</v>
      </c>
      <c r="Q16">
        <f t="shared" si="5"/>
        <v>403325.28770126181</v>
      </c>
      <c r="R16">
        <f t="shared" si="6"/>
        <v>93.130713754007942</v>
      </c>
      <c r="S16">
        <f t="shared" si="7"/>
        <v>20.488968685501074</v>
      </c>
      <c r="T16">
        <v>4</v>
      </c>
    </row>
    <row r="17" spans="1:22">
      <c r="A17">
        <v>64.361000000000004</v>
      </c>
      <c r="B17">
        <v>2.2801750444467492</v>
      </c>
      <c r="C17">
        <v>21.568999999999999</v>
      </c>
      <c r="D17">
        <v>36.097999999999999</v>
      </c>
      <c r="E17">
        <f t="shared" si="0"/>
        <v>29.547000000000001</v>
      </c>
      <c r="F17">
        <f t="shared" si="1"/>
        <v>31.801999999999992</v>
      </c>
      <c r="G17">
        <v>1.7515772068176034</v>
      </c>
      <c r="H17">
        <v>1.6574790129737977</v>
      </c>
      <c r="I17">
        <v>3.7609783779092933</v>
      </c>
      <c r="J17">
        <v>17.579999999999998</v>
      </c>
      <c r="K17">
        <v>38.246000000000002</v>
      </c>
      <c r="L17">
        <v>2.25</v>
      </c>
      <c r="M17">
        <v>2.1283134062579494</v>
      </c>
      <c r="N17">
        <f t="shared" si="2"/>
        <v>4.5305656379750223</v>
      </c>
      <c r="O17">
        <f t="shared" si="3"/>
        <v>-0.49395631816688607</v>
      </c>
      <c r="P17">
        <f t="shared" si="4"/>
        <v>41827145.605817102</v>
      </c>
      <c r="Q17">
        <f t="shared" si="5"/>
        <v>408598.14851357491</v>
      </c>
      <c r="R17">
        <f t="shared" si="6"/>
        <v>102.36743792887616</v>
      </c>
      <c r="S17">
        <f t="shared" si="7"/>
        <v>463.7823967281073</v>
      </c>
      <c r="T17">
        <v>5</v>
      </c>
      <c r="U17">
        <v>48.283000000000001</v>
      </c>
      <c r="V17">
        <v>93.811000000000007</v>
      </c>
    </row>
    <row r="18" spans="1:22">
      <c r="A18">
        <v>64.361000000000004</v>
      </c>
      <c r="B18">
        <v>2.1901418805448261</v>
      </c>
      <c r="C18">
        <v>93.355999999999995</v>
      </c>
      <c r="D18">
        <v>18.591999999999999</v>
      </c>
      <c r="E18">
        <f t="shared" si="0"/>
        <v>89.24799999999999</v>
      </c>
      <c r="F18">
        <f t="shared" si="1"/>
        <v>23.147999999999996</v>
      </c>
      <c r="G18">
        <v>1.7852864095844254</v>
      </c>
      <c r="H18">
        <v>1.5620554099588169</v>
      </c>
      <c r="I18">
        <v>3.3027339558615973</v>
      </c>
      <c r="J18">
        <v>95.41</v>
      </c>
      <c r="K18">
        <v>16.314</v>
      </c>
      <c r="L18">
        <v>2.25</v>
      </c>
      <c r="M18">
        <v>1.8689629352302508</v>
      </c>
      <c r="N18">
        <f t="shared" si="2"/>
        <v>3.0672789243888472</v>
      </c>
      <c r="O18">
        <f t="shared" si="3"/>
        <v>-0.83706037032756231</v>
      </c>
      <c r="P18">
        <f t="shared" si="4"/>
        <v>31187189.09466514</v>
      </c>
      <c r="Q18">
        <f t="shared" si="5"/>
        <v>396849.95828205871</v>
      </c>
      <c r="R18">
        <f t="shared" si="6"/>
        <v>78.5868523954815</v>
      </c>
      <c r="S18">
        <f t="shared" si="7"/>
        <v>241.0477960867176</v>
      </c>
      <c r="T18">
        <v>5</v>
      </c>
      <c r="U18">
        <v>48.88300000000001</v>
      </c>
      <c r="V18">
        <v>95.045000000000016</v>
      </c>
    </row>
    <row r="19" spans="1:22">
      <c r="A19">
        <v>64.361000000000004</v>
      </c>
      <c r="B19">
        <v>2.3268206425556603</v>
      </c>
      <c r="C19">
        <v>64.227999999999994</v>
      </c>
      <c r="D19">
        <v>16.413</v>
      </c>
      <c r="E19">
        <f t="shared" si="0"/>
        <v>63.655999999999992</v>
      </c>
      <c r="F19">
        <f t="shared" si="1"/>
        <v>20.835000000000001</v>
      </c>
      <c r="G19">
        <v>1.8131281892685944</v>
      </c>
      <c r="H19">
        <v>1.6339492809648988</v>
      </c>
      <c r="I19">
        <v>3.7928521456687641</v>
      </c>
      <c r="J19">
        <v>64.513999999999996</v>
      </c>
      <c r="K19">
        <v>14.202</v>
      </c>
      <c r="L19">
        <v>2.25</v>
      </c>
      <c r="M19">
        <v>2.1463197773310658</v>
      </c>
      <c r="N19">
        <f t="shared" si="2"/>
        <v>2.2294207767938294</v>
      </c>
      <c r="O19">
        <f t="shared" si="3"/>
        <v>-1.4421573927265356</v>
      </c>
      <c r="P19">
        <f t="shared" si="4"/>
        <v>39377197.373503581</v>
      </c>
      <c r="Q19">
        <f t="shared" si="5"/>
        <v>403423.48979903443</v>
      </c>
      <c r="R19">
        <f t="shared" si="6"/>
        <v>97.607596902994786</v>
      </c>
      <c r="S19">
        <f t="shared" si="7"/>
        <v>217.60840450845362</v>
      </c>
      <c r="T19">
        <v>5</v>
      </c>
    </row>
    <row r="20" spans="1:22">
      <c r="A20">
        <v>64.361000000000004</v>
      </c>
      <c r="B20">
        <v>2.0552168820116785</v>
      </c>
      <c r="C20">
        <v>34.613</v>
      </c>
      <c r="D20">
        <v>16.141999999999999</v>
      </c>
      <c r="E20">
        <f t="shared" si="0"/>
        <v>38.066999999999993</v>
      </c>
      <c r="F20">
        <f t="shared" si="1"/>
        <v>21.475999999999999</v>
      </c>
      <c r="G20">
        <v>1.6656253240692729</v>
      </c>
      <c r="H20">
        <v>1.5710100591102352</v>
      </c>
      <c r="I20">
        <v>3.8790517309491945</v>
      </c>
      <c r="J20">
        <v>32.886000000000003</v>
      </c>
      <c r="K20">
        <v>13.475</v>
      </c>
      <c r="L20">
        <v>2.25</v>
      </c>
      <c r="M20">
        <v>2.195050814062014</v>
      </c>
      <c r="N20">
        <f t="shared" si="2"/>
        <v>3.1773287522697409</v>
      </c>
      <c r="O20">
        <f t="shared" si="3"/>
        <v>0.99614954189589688</v>
      </c>
      <c r="P20">
        <f t="shared" si="4"/>
        <v>42681986.396400049</v>
      </c>
      <c r="Q20">
        <f t="shared" si="5"/>
        <v>407773.93201149744</v>
      </c>
      <c r="R20">
        <f t="shared" si="6"/>
        <v>104.67070856112647</v>
      </c>
      <c r="S20">
        <f t="shared" si="7"/>
        <v>332.57325183171366</v>
      </c>
      <c r="T20">
        <v>6</v>
      </c>
      <c r="U20">
        <v>16.074999999999999</v>
      </c>
      <c r="V20">
        <v>93.12</v>
      </c>
    </row>
    <row r="21" spans="1:22">
      <c r="A21">
        <v>64.361000000000004</v>
      </c>
      <c r="B21">
        <v>2.000735054478743</v>
      </c>
      <c r="C21">
        <v>127.047</v>
      </c>
      <c r="D21">
        <v>15.714</v>
      </c>
      <c r="E21">
        <f t="shared" si="0"/>
        <v>129.27699999999999</v>
      </c>
      <c r="F21">
        <f t="shared" si="1"/>
        <v>16.112000000000002</v>
      </c>
      <c r="G21">
        <v>1.7231229194920481</v>
      </c>
      <c r="H21">
        <v>1.4783627172974974</v>
      </c>
      <c r="I21">
        <v>3.4799109708241387</v>
      </c>
      <c r="J21">
        <v>125.932</v>
      </c>
      <c r="K21">
        <v>15.515000000000001</v>
      </c>
      <c r="L21">
        <v>2.25</v>
      </c>
      <c r="M21">
        <v>1.9692701269880413</v>
      </c>
      <c r="N21">
        <f t="shared" si="2"/>
        <v>1.1326190886613154</v>
      </c>
      <c r="O21">
        <f t="shared" si="3"/>
        <v>0.17661573174933798</v>
      </c>
      <c r="P21">
        <f t="shared" si="4"/>
        <v>39352931.258565247</v>
      </c>
      <c r="Q21">
        <f t="shared" si="5"/>
        <v>409908.47786577267</v>
      </c>
      <c r="R21">
        <f t="shared" si="6"/>
        <v>96.004189675363662</v>
      </c>
      <c r="S21">
        <f t="shared" si="7"/>
        <v>108.73617781777845</v>
      </c>
      <c r="T21">
        <v>6</v>
      </c>
      <c r="U21">
        <v>16.366999999999997</v>
      </c>
      <c r="V21">
        <v>94.566000000000003</v>
      </c>
    </row>
    <row r="22" spans="1:22">
      <c r="A22">
        <v>64.361000000000004</v>
      </c>
      <c r="T22">
        <v>6</v>
      </c>
    </row>
    <row r="23" spans="1:22">
      <c r="A23">
        <v>64.361000000000004</v>
      </c>
      <c r="T23">
        <v>7</v>
      </c>
      <c r="U23">
        <v>87.554000000000002</v>
      </c>
      <c r="V23">
        <v>91.738</v>
      </c>
    </row>
    <row r="24" spans="1:22">
      <c r="A24">
        <v>64.361000000000004</v>
      </c>
      <c r="T24">
        <v>7</v>
      </c>
      <c r="U24">
        <v>97.298000000000002</v>
      </c>
      <c r="V24">
        <v>88.789999999999992</v>
      </c>
    </row>
    <row r="25" spans="1:22">
      <c r="A25">
        <v>64.361000000000004</v>
      </c>
      <c r="T25">
        <v>7</v>
      </c>
    </row>
    <row r="26" spans="1:22">
      <c r="A26">
        <v>64.361000000000004</v>
      </c>
      <c r="T26">
        <v>8</v>
      </c>
      <c r="U26">
        <v>92.796000000000006</v>
      </c>
      <c r="V26">
        <v>69.245999999999995</v>
      </c>
    </row>
    <row r="27" spans="1:22">
      <c r="A27">
        <v>64.361000000000004</v>
      </c>
      <c r="T27">
        <v>8</v>
      </c>
      <c r="U27">
        <v>90.046000000000006</v>
      </c>
      <c r="V27">
        <v>71.045999999999978</v>
      </c>
    </row>
    <row r="28" spans="1:22">
      <c r="T28">
        <v>8</v>
      </c>
    </row>
    <row r="29" spans="1:22">
      <c r="T29">
        <v>9</v>
      </c>
      <c r="U29">
        <v>127.023</v>
      </c>
      <c r="V29">
        <v>68.635000000000005</v>
      </c>
    </row>
    <row r="30" spans="1:22">
      <c r="T30">
        <v>9</v>
      </c>
      <c r="U30">
        <v>127.80499999999998</v>
      </c>
      <c r="V30">
        <v>70.111000000000004</v>
      </c>
    </row>
    <row r="31" spans="1:22">
      <c r="T31">
        <v>9</v>
      </c>
    </row>
    <row r="32" spans="1:22">
      <c r="T32">
        <v>10</v>
      </c>
      <c r="U32">
        <v>32.478000000000002</v>
      </c>
      <c r="V32">
        <v>66.56</v>
      </c>
    </row>
    <row r="33" spans="20:22">
      <c r="T33">
        <v>10</v>
      </c>
      <c r="U33">
        <v>33.380000000000003</v>
      </c>
      <c r="V33">
        <v>67.76400000000001</v>
      </c>
    </row>
    <row r="34" spans="20:22">
      <c r="T34">
        <v>10</v>
      </c>
    </row>
    <row r="35" spans="20:22">
      <c r="T35">
        <v>11</v>
      </c>
      <c r="U35">
        <v>71.828999999999994</v>
      </c>
      <c r="V35">
        <v>64.936999999999998</v>
      </c>
    </row>
    <row r="36" spans="20:22">
      <c r="T36">
        <v>11</v>
      </c>
      <c r="U36">
        <v>85.266999999999982</v>
      </c>
      <c r="V36">
        <v>61.938999999999979</v>
      </c>
    </row>
    <row r="37" spans="20:22">
      <c r="T37">
        <v>11</v>
      </c>
    </row>
    <row r="38" spans="20:22">
      <c r="T38">
        <v>12</v>
      </c>
      <c r="U38">
        <v>106.268</v>
      </c>
      <c r="V38">
        <v>43.911000000000001</v>
      </c>
    </row>
    <row r="39" spans="20:22">
      <c r="T39">
        <v>12</v>
      </c>
      <c r="U39">
        <v>100.22399999999999</v>
      </c>
      <c r="V39">
        <v>46.887</v>
      </c>
    </row>
    <row r="40" spans="20:22">
      <c r="T40">
        <v>12</v>
      </c>
    </row>
    <row r="41" spans="20:22">
      <c r="T41">
        <v>13</v>
      </c>
      <c r="U41">
        <v>79.174000000000007</v>
      </c>
      <c r="V41">
        <v>43.296999999999997</v>
      </c>
    </row>
    <row r="42" spans="20:22">
      <c r="T42">
        <v>13</v>
      </c>
      <c r="U42">
        <v>78.310000000000031</v>
      </c>
      <c r="V42">
        <v>46.758999999999986</v>
      </c>
    </row>
    <row r="43" spans="20:22">
      <c r="T43">
        <v>13</v>
      </c>
    </row>
    <row r="44" spans="20:22">
      <c r="T44">
        <v>14</v>
      </c>
      <c r="U44">
        <v>48.167000000000002</v>
      </c>
      <c r="V44">
        <v>39.914999999999999</v>
      </c>
    </row>
    <row r="45" spans="20:22">
      <c r="T45">
        <v>14</v>
      </c>
      <c r="U45">
        <v>47.865000000000009</v>
      </c>
      <c r="V45">
        <v>40.234999999999992</v>
      </c>
    </row>
    <row r="46" spans="20:22">
      <c r="T46">
        <v>14</v>
      </c>
    </row>
    <row r="47" spans="20:22">
      <c r="T47">
        <v>15</v>
      </c>
      <c r="U47">
        <v>21.568999999999999</v>
      </c>
      <c r="V47">
        <v>36.097999999999999</v>
      </c>
    </row>
    <row r="48" spans="20:22">
      <c r="T48">
        <v>15</v>
      </c>
      <c r="U48">
        <v>29.547000000000001</v>
      </c>
      <c r="V48">
        <v>31.801999999999992</v>
      </c>
    </row>
    <row r="49" spans="20:22">
      <c r="T49">
        <v>15</v>
      </c>
    </row>
    <row r="50" spans="20:22">
      <c r="T50">
        <v>16</v>
      </c>
      <c r="U50">
        <v>93.355999999999995</v>
      </c>
      <c r="V50">
        <v>18.591999999999999</v>
      </c>
    </row>
    <row r="51" spans="20:22">
      <c r="T51">
        <v>16</v>
      </c>
      <c r="U51">
        <v>89.24799999999999</v>
      </c>
      <c r="V51">
        <v>23.147999999999996</v>
      </c>
    </row>
    <row r="52" spans="20:22">
      <c r="T52">
        <v>16</v>
      </c>
    </row>
    <row r="53" spans="20:22">
      <c r="T53">
        <v>17</v>
      </c>
      <c r="U53">
        <v>64.227999999999994</v>
      </c>
      <c r="V53">
        <v>16.413</v>
      </c>
    </row>
    <row r="54" spans="20:22">
      <c r="T54">
        <v>17</v>
      </c>
      <c r="U54">
        <v>63.655999999999992</v>
      </c>
      <c r="V54">
        <v>20.835000000000001</v>
      </c>
    </row>
    <row r="55" spans="20:22">
      <c r="T55">
        <v>17</v>
      </c>
    </row>
    <row r="56" spans="20:22">
      <c r="T56">
        <v>18</v>
      </c>
      <c r="U56">
        <v>34.613</v>
      </c>
      <c r="V56">
        <v>16.141999999999999</v>
      </c>
    </row>
    <row r="57" spans="20:22">
      <c r="T57">
        <v>18</v>
      </c>
      <c r="U57">
        <v>38.066999999999993</v>
      </c>
      <c r="V57">
        <v>21.475999999999999</v>
      </c>
    </row>
    <row r="58" spans="20:22">
      <c r="T58">
        <v>18</v>
      </c>
    </row>
    <row r="59" spans="20:22">
      <c r="T59">
        <v>19</v>
      </c>
      <c r="U59">
        <v>127.047</v>
      </c>
      <c r="V59">
        <v>15.714</v>
      </c>
    </row>
    <row r="60" spans="20:22">
      <c r="T60">
        <v>19</v>
      </c>
      <c r="U60">
        <v>129.27699999999999</v>
      </c>
      <c r="V60">
        <v>16.112000000000002</v>
      </c>
    </row>
    <row r="61" spans="20:22">
      <c r="T61">
        <v>19</v>
      </c>
    </row>
  </sheetData>
  <sortState ref="T2:V61">
    <sortCondition ref="T2:T6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27"/>
  <sheetViews>
    <sheetView workbookViewId="0">
      <selection activeCell="A28" sqref="A28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>
        <v>1</v>
      </c>
      <c r="B2">
        <v>180</v>
      </c>
      <c r="C2">
        <v>255</v>
      </c>
      <c r="D2">
        <v>255</v>
      </c>
      <c r="E2">
        <v>64.361000000000004</v>
      </c>
      <c r="F2">
        <v>120.60599999999999</v>
      </c>
      <c r="G2">
        <v>15.31</v>
      </c>
      <c r="H2">
        <v>14.968999999999999</v>
      </c>
      <c r="I2">
        <v>161.99199999999999</v>
      </c>
    </row>
    <row r="3" spans="1:9">
      <c r="A3">
        <v>2</v>
      </c>
      <c r="B3">
        <v>181</v>
      </c>
      <c r="C3">
        <v>255</v>
      </c>
      <c r="D3">
        <v>255</v>
      </c>
      <c r="E3">
        <v>31.754000000000001</v>
      </c>
      <c r="F3">
        <v>119.831</v>
      </c>
      <c r="G3">
        <v>15.391</v>
      </c>
      <c r="H3">
        <v>14.974</v>
      </c>
      <c r="I3">
        <v>23.527000000000001</v>
      </c>
    </row>
    <row r="4" spans="1:9">
      <c r="A4">
        <v>1</v>
      </c>
      <c r="B4">
        <v>150</v>
      </c>
      <c r="C4">
        <v>255</v>
      </c>
      <c r="D4">
        <v>255</v>
      </c>
      <c r="E4">
        <v>120.887</v>
      </c>
      <c r="F4">
        <v>118.387</v>
      </c>
      <c r="G4">
        <v>15.81</v>
      </c>
      <c r="H4">
        <v>12.08</v>
      </c>
      <c r="I4">
        <v>136.55500000000001</v>
      </c>
    </row>
    <row r="5" spans="1:9">
      <c r="A5">
        <v>2</v>
      </c>
      <c r="B5">
        <v>153</v>
      </c>
      <c r="C5">
        <v>255</v>
      </c>
      <c r="D5">
        <v>255</v>
      </c>
      <c r="E5">
        <v>100.38200000000001</v>
      </c>
      <c r="F5">
        <v>110.01</v>
      </c>
      <c r="G5">
        <v>14.635</v>
      </c>
      <c r="H5">
        <v>13.311</v>
      </c>
      <c r="I5">
        <v>70.715000000000003</v>
      </c>
    </row>
    <row r="6" spans="1:9">
      <c r="A6">
        <v>3</v>
      </c>
      <c r="B6">
        <v>151</v>
      </c>
      <c r="C6">
        <v>255</v>
      </c>
      <c r="D6">
        <v>255</v>
      </c>
      <c r="E6">
        <v>104.60599999999999</v>
      </c>
      <c r="F6">
        <v>94.254999999999995</v>
      </c>
      <c r="G6">
        <v>14.766</v>
      </c>
      <c r="H6">
        <v>13.02</v>
      </c>
      <c r="I6">
        <v>90.980999999999995</v>
      </c>
    </row>
    <row r="7" spans="1:9">
      <c r="A7">
        <v>4</v>
      </c>
      <c r="B7">
        <v>180</v>
      </c>
      <c r="C7">
        <v>255</v>
      </c>
      <c r="D7">
        <v>255</v>
      </c>
      <c r="E7">
        <v>48.283000000000001</v>
      </c>
      <c r="F7">
        <v>93.811000000000007</v>
      </c>
      <c r="G7">
        <v>15.265000000000001</v>
      </c>
      <c r="H7">
        <v>15.013</v>
      </c>
      <c r="I7">
        <v>159.904</v>
      </c>
    </row>
    <row r="8" spans="1:9">
      <c r="A8">
        <v>3</v>
      </c>
      <c r="B8">
        <v>179</v>
      </c>
      <c r="C8">
        <v>255</v>
      </c>
      <c r="D8">
        <v>255</v>
      </c>
      <c r="E8">
        <v>16.074999999999999</v>
      </c>
      <c r="F8">
        <v>93.12</v>
      </c>
      <c r="G8">
        <v>15.593999999999999</v>
      </c>
      <c r="H8">
        <v>14.616</v>
      </c>
      <c r="I8">
        <v>168.33799999999999</v>
      </c>
    </row>
    <row r="9" spans="1:9">
      <c r="A9">
        <v>4</v>
      </c>
      <c r="B9">
        <v>168</v>
      </c>
      <c r="C9">
        <v>255</v>
      </c>
      <c r="D9">
        <v>255</v>
      </c>
      <c r="E9">
        <v>87.554000000000002</v>
      </c>
      <c r="F9">
        <v>91.738</v>
      </c>
      <c r="G9">
        <v>15.802</v>
      </c>
      <c r="H9">
        <v>13.537000000000001</v>
      </c>
      <c r="I9">
        <v>167.21700000000001</v>
      </c>
    </row>
    <row r="10" spans="1:9">
      <c r="A10">
        <v>6</v>
      </c>
      <c r="B10">
        <v>142</v>
      </c>
      <c r="C10">
        <v>255</v>
      </c>
      <c r="D10">
        <v>255</v>
      </c>
      <c r="E10">
        <v>92.796000000000006</v>
      </c>
      <c r="F10">
        <v>69.245999999999995</v>
      </c>
      <c r="G10">
        <v>13.804</v>
      </c>
      <c r="H10">
        <v>13.097</v>
      </c>
      <c r="I10">
        <v>2.2269999999999999</v>
      </c>
    </row>
    <row r="11" spans="1:9">
      <c r="A11">
        <v>5</v>
      </c>
      <c r="B11">
        <v>182</v>
      </c>
      <c r="C11">
        <v>255</v>
      </c>
      <c r="D11">
        <v>255</v>
      </c>
      <c r="E11">
        <v>92.72</v>
      </c>
      <c r="F11">
        <v>68.78</v>
      </c>
      <c r="G11">
        <v>17.855</v>
      </c>
      <c r="H11">
        <v>12.978</v>
      </c>
      <c r="I11">
        <v>65.619</v>
      </c>
    </row>
    <row r="12" spans="1:9">
      <c r="A12">
        <v>5</v>
      </c>
      <c r="B12">
        <v>260</v>
      </c>
      <c r="C12">
        <v>255</v>
      </c>
      <c r="D12">
        <v>255</v>
      </c>
      <c r="E12">
        <v>127.023</v>
      </c>
      <c r="F12">
        <v>68.635000000000005</v>
      </c>
      <c r="G12">
        <v>18.37</v>
      </c>
      <c r="H12">
        <v>18.021000000000001</v>
      </c>
      <c r="I12">
        <v>33.584000000000003</v>
      </c>
    </row>
    <row r="13" spans="1:9">
      <c r="A13">
        <v>7</v>
      </c>
      <c r="B13">
        <v>184</v>
      </c>
      <c r="C13">
        <v>255</v>
      </c>
      <c r="D13">
        <v>255</v>
      </c>
      <c r="E13">
        <v>32.478000000000002</v>
      </c>
      <c r="F13">
        <v>66.56</v>
      </c>
      <c r="G13">
        <v>15.72</v>
      </c>
      <c r="H13">
        <v>14.904</v>
      </c>
      <c r="I13">
        <v>169.93700000000001</v>
      </c>
    </row>
    <row r="14" spans="1:9">
      <c r="A14">
        <v>8</v>
      </c>
      <c r="B14">
        <v>158</v>
      </c>
      <c r="C14">
        <v>255</v>
      </c>
      <c r="D14">
        <v>255</v>
      </c>
      <c r="E14">
        <v>71.828999999999994</v>
      </c>
      <c r="F14">
        <v>64.936999999999998</v>
      </c>
      <c r="G14">
        <v>14.814</v>
      </c>
      <c r="H14">
        <v>13.58</v>
      </c>
      <c r="I14">
        <v>27.085999999999999</v>
      </c>
    </row>
    <row r="15" spans="1:9">
      <c r="A15">
        <v>7</v>
      </c>
      <c r="B15">
        <v>185</v>
      </c>
      <c r="C15">
        <v>255</v>
      </c>
      <c r="D15">
        <v>255</v>
      </c>
      <c r="E15">
        <v>106.268</v>
      </c>
      <c r="F15">
        <v>43.911000000000001</v>
      </c>
      <c r="G15">
        <v>16.771999999999998</v>
      </c>
      <c r="H15">
        <v>14.044</v>
      </c>
      <c r="I15">
        <v>145.51</v>
      </c>
    </row>
    <row r="16" spans="1:9">
      <c r="A16">
        <v>9</v>
      </c>
      <c r="B16">
        <v>256</v>
      </c>
      <c r="C16">
        <v>255</v>
      </c>
      <c r="D16">
        <v>255</v>
      </c>
      <c r="E16">
        <v>107.047</v>
      </c>
      <c r="F16">
        <v>43.703000000000003</v>
      </c>
      <c r="G16">
        <v>18.568999999999999</v>
      </c>
      <c r="H16">
        <v>17.553000000000001</v>
      </c>
      <c r="I16">
        <v>132.18700000000001</v>
      </c>
    </row>
    <row r="17" spans="1:9">
      <c r="A17">
        <v>10</v>
      </c>
      <c r="B17">
        <v>172</v>
      </c>
      <c r="C17">
        <v>255</v>
      </c>
      <c r="D17">
        <v>255</v>
      </c>
      <c r="E17">
        <v>79.174000000000007</v>
      </c>
      <c r="F17">
        <v>43.296999999999997</v>
      </c>
      <c r="G17">
        <v>15.044</v>
      </c>
      <c r="H17">
        <v>14.558</v>
      </c>
      <c r="I17">
        <v>132.029</v>
      </c>
    </row>
    <row r="18" spans="1:9">
      <c r="A18">
        <v>6</v>
      </c>
      <c r="B18">
        <v>210</v>
      </c>
      <c r="C18">
        <v>255</v>
      </c>
      <c r="D18">
        <v>255</v>
      </c>
      <c r="E18">
        <v>78.704999999999998</v>
      </c>
      <c r="F18">
        <v>43.256999999999998</v>
      </c>
      <c r="G18">
        <v>18.212</v>
      </c>
      <c r="H18">
        <v>14.680999999999999</v>
      </c>
      <c r="I18">
        <v>70.141000000000005</v>
      </c>
    </row>
    <row r="19" spans="1:9">
      <c r="A19">
        <v>11</v>
      </c>
      <c r="B19">
        <v>171</v>
      </c>
      <c r="C19">
        <v>255</v>
      </c>
      <c r="D19">
        <v>255</v>
      </c>
      <c r="E19">
        <v>48.167000000000002</v>
      </c>
      <c r="F19">
        <v>39.914999999999999</v>
      </c>
      <c r="G19">
        <v>15.238</v>
      </c>
      <c r="H19">
        <v>14.288</v>
      </c>
      <c r="I19">
        <v>3.165</v>
      </c>
    </row>
    <row r="20" spans="1:9">
      <c r="A20">
        <v>12</v>
      </c>
      <c r="B20">
        <v>174</v>
      </c>
      <c r="C20">
        <v>255</v>
      </c>
      <c r="D20">
        <v>255</v>
      </c>
      <c r="E20">
        <v>21.568999999999999</v>
      </c>
      <c r="F20">
        <v>36.097999999999999</v>
      </c>
      <c r="G20">
        <v>15.301</v>
      </c>
      <c r="H20">
        <v>14.478999999999999</v>
      </c>
      <c r="I20">
        <v>169.91300000000001</v>
      </c>
    </row>
    <row r="21" spans="1:9">
      <c r="A21">
        <v>13</v>
      </c>
      <c r="B21">
        <v>250</v>
      </c>
      <c r="C21">
        <v>255</v>
      </c>
      <c r="D21">
        <v>255</v>
      </c>
      <c r="E21">
        <v>93.355999999999995</v>
      </c>
      <c r="F21">
        <v>18.591999999999999</v>
      </c>
      <c r="G21">
        <v>19.074000000000002</v>
      </c>
      <c r="H21">
        <v>16.689</v>
      </c>
      <c r="I21">
        <v>117.401</v>
      </c>
    </row>
    <row r="22" spans="1:9">
      <c r="A22">
        <v>8</v>
      </c>
      <c r="B22">
        <v>196</v>
      </c>
      <c r="C22">
        <v>255</v>
      </c>
      <c r="D22">
        <v>255</v>
      </c>
      <c r="E22">
        <v>93.081999999999994</v>
      </c>
      <c r="F22">
        <v>17.922999999999998</v>
      </c>
      <c r="G22">
        <v>16.314</v>
      </c>
      <c r="H22">
        <v>15.297000000000001</v>
      </c>
      <c r="I22">
        <v>83.992999999999995</v>
      </c>
    </row>
    <row r="23" spans="1:9">
      <c r="A23">
        <v>14</v>
      </c>
      <c r="B23">
        <v>173</v>
      </c>
      <c r="C23">
        <v>255</v>
      </c>
      <c r="D23">
        <v>255</v>
      </c>
      <c r="E23">
        <v>64.227999999999994</v>
      </c>
      <c r="F23">
        <v>16.413</v>
      </c>
      <c r="G23">
        <v>15.634</v>
      </c>
      <c r="H23">
        <v>14.089</v>
      </c>
      <c r="I23">
        <v>27.427</v>
      </c>
    </row>
    <row r="24" spans="1:9">
      <c r="A24">
        <v>16</v>
      </c>
      <c r="B24">
        <v>151</v>
      </c>
      <c r="C24">
        <v>255</v>
      </c>
      <c r="D24">
        <v>255</v>
      </c>
      <c r="E24">
        <v>34.613</v>
      </c>
      <c r="F24">
        <v>16.141999999999999</v>
      </c>
      <c r="G24">
        <v>14.276999999999999</v>
      </c>
      <c r="H24">
        <v>13.465999999999999</v>
      </c>
      <c r="I24">
        <v>110.261</v>
      </c>
    </row>
    <row r="25" spans="1:9">
      <c r="A25">
        <v>15</v>
      </c>
      <c r="B25">
        <v>234</v>
      </c>
      <c r="C25">
        <v>255</v>
      </c>
      <c r="D25">
        <v>255</v>
      </c>
      <c r="E25">
        <v>127.047</v>
      </c>
      <c r="F25">
        <v>15.714</v>
      </c>
      <c r="G25">
        <v>18.635000000000002</v>
      </c>
      <c r="H25">
        <v>15.988</v>
      </c>
      <c r="I25">
        <v>22.329000000000001</v>
      </c>
    </row>
    <row r="26" spans="1:9">
      <c r="A26">
        <v>9</v>
      </c>
      <c r="B26">
        <v>135</v>
      </c>
      <c r="C26">
        <v>255</v>
      </c>
      <c r="D26">
        <v>255</v>
      </c>
      <c r="E26">
        <v>64.515000000000001</v>
      </c>
      <c r="F26">
        <v>15.321999999999999</v>
      </c>
      <c r="G26">
        <v>13.458</v>
      </c>
      <c r="H26">
        <v>12.773</v>
      </c>
      <c r="I26">
        <v>68.433000000000007</v>
      </c>
    </row>
    <row r="27" spans="1:9">
      <c r="A27">
        <v>10</v>
      </c>
      <c r="B27">
        <v>155</v>
      </c>
      <c r="C27">
        <v>255</v>
      </c>
      <c r="D27">
        <v>255</v>
      </c>
      <c r="E27">
        <v>34.305999999999997</v>
      </c>
      <c r="F27">
        <v>13.971</v>
      </c>
      <c r="G27">
        <v>14.189</v>
      </c>
      <c r="H27">
        <v>13.909000000000001</v>
      </c>
      <c r="I27">
        <v>45.155999999999999</v>
      </c>
    </row>
  </sheetData>
  <sortState ref="A1:I27">
    <sortCondition descending="1" ref="F2:F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11"/>
  <sheetViews>
    <sheetView workbookViewId="0">
      <selection activeCell="F11" sqref="F11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>
        <v>1</v>
      </c>
      <c r="B2">
        <v>150</v>
      </c>
      <c r="C2">
        <v>255</v>
      </c>
      <c r="D2">
        <v>255</v>
      </c>
      <c r="E2">
        <v>120.887</v>
      </c>
      <c r="F2">
        <v>118.387</v>
      </c>
      <c r="G2">
        <v>15.81</v>
      </c>
      <c r="H2">
        <v>12.08</v>
      </c>
      <c r="I2">
        <v>136.55500000000001</v>
      </c>
    </row>
    <row r="3" spans="1:9">
      <c r="A3">
        <v>2</v>
      </c>
      <c r="B3">
        <v>153</v>
      </c>
      <c r="C3">
        <v>255</v>
      </c>
      <c r="D3">
        <v>255</v>
      </c>
      <c r="E3">
        <v>100.38200000000001</v>
      </c>
      <c r="F3">
        <v>110.01</v>
      </c>
      <c r="G3">
        <v>14.635</v>
      </c>
      <c r="H3">
        <v>13.311</v>
      </c>
      <c r="I3">
        <v>70.715000000000003</v>
      </c>
    </row>
    <row r="4" spans="1:9">
      <c r="A4">
        <v>3</v>
      </c>
      <c r="B4">
        <v>151</v>
      </c>
      <c r="C4">
        <v>255</v>
      </c>
      <c r="D4">
        <v>255</v>
      </c>
      <c r="E4">
        <v>104.60599999999999</v>
      </c>
      <c r="F4">
        <v>94.254999999999995</v>
      </c>
      <c r="G4">
        <v>14.766</v>
      </c>
      <c r="H4">
        <v>13.02</v>
      </c>
      <c r="I4">
        <v>90.980999999999995</v>
      </c>
    </row>
    <row r="5" spans="1:9">
      <c r="A5">
        <v>4</v>
      </c>
      <c r="B5">
        <v>168</v>
      </c>
      <c r="C5">
        <v>255</v>
      </c>
      <c r="D5">
        <v>255</v>
      </c>
      <c r="E5">
        <v>87.554000000000002</v>
      </c>
      <c r="F5">
        <v>91.738</v>
      </c>
      <c r="G5">
        <v>15.802</v>
      </c>
      <c r="H5">
        <v>13.537000000000001</v>
      </c>
      <c r="I5">
        <v>167.21700000000001</v>
      </c>
    </row>
    <row r="6" spans="1:9">
      <c r="A6">
        <v>5</v>
      </c>
      <c r="B6">
        <v>182</v>
      </c>
      <c r="C6">
        <v>255</v>
      </c>
      <c r="D6">
        <v>255</v>
      </c>
      <c r="E6">
        <v>92.72</v>
      </c>
      <c r="F6">
        <v>68.78</v>
      </c>
      <c r="G6">
        <v>17.855</v>
      </c>
      <c r="H6">
        <v>12.978</v>
      </c>
      <c r="I6">
        <v>65.619</v>
      </c>
    </row>
    <row r="7" spans="1:9">
      <c r="A7">
        <v>6</v>
      </c>
      <c r="B7">
        <v>210</v>
      </c>
      <c r="C7">
        <v>255</v>
      </c>
      <c r="D7">
        <v>255</v>
      </c>
      <c r="E7">
        <v>78.704999999999998</v>
      </c>
      <c r="F7">
        <v>43.256999999999998</v>
      </c>
      <c r="G7">
        <v>18.212</v>
      </c>
      <c r="H7">
        <v>14.680999999999999</v>
      </c>
      <c r="I7">
        <v>70.141000000000005</v>
      </c>
    </row>
    <row r="8" spans="1:9">
      <c r="A8">
        <v>7</v>
      </c>
      <c r="B8">
        <v>185</v>
      </c>
      <c r="C8">
        <v>255</v>
      </c>
      <c r="D8">
        <v>255</v>
      </c>
      <c r="E8">
        <v>106.268</v>
      </c>
      <c r="F8">
        <v>43.911000000000001</v>
      </c>
      <c r="G8">
        <v>16.771999999999998</v>
      </c>
      <c r="H8">
        <v>14.044</v>
      </c>
      <c r="I8">
        <v>145.51</v>
      </c>
    </row>
    <row r="9" spans="1:9">
      <c r="A9">
        <v>8</v>
      </c>
      <c r="B9">
        <v>196</v>
      </c>
      <c r="C9">
        <v>255</v>
      </c>
      <c r="D9">
        <v>255</v>
      </c>
      <c r="E9">
        <v>93.081999999999994</v>
      </c>
      <c r="F9">
        <v>17.922999999999998</v>
      </c>
      <c r="G9">
        <v>16.314</v>
      </c>
      <c r="H9">
        <v>15.297000000000001</v>
      </c>
      <c r="I9">
        <v>83.992999999999995</v>
      </c>
    </row>
    <row r="10" spans="1:9">
      <c r="A10">
        <v>9</v>
      </c>
      <c r="B10">
        <v>135</v>
      </c>
      <c r="C10">
        <v>255</v>
      </c>
      <c r="D10">
        <v>255</v>
      </c>
      <c r="E10">
        <v>64.515000000000001</v>
      </c>
      <c r="F10">
        <v>15.321999999999999</v>
      </c>
      <c r="G10">
        <v>13.458</v>
      </c>
      <c r="H10">
        <v>12.773</v>
      </c>
      <c r="I10">
        <v>68.433000000000007</v>
      </c>
    </row>
    <row r="11" spans="1:9">
      <c r="A11">
        <v>10</v>
      </c>
      <c r="B11">
        <v>155</v>
      </c>
      <c r="C11">
        <v>255</v>
      </c>
      <c r="D11">
        <v>255</v>
      </c>
      <c r="E11">
        <v>34.305999999999997</v>
      </c>
      <c r="F11">
        <v>13.971</v>
      </c>
      <c r="G11">
        <v>14.189</v>
      </c>
      <c r="H11">
        <v>13.909000000000001</v>
      </c>
      <c r="I11">
        <v>45.155999999999999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base</vt:lpstr>
      <vt:lpstr>result</vt:lpstr>
      <vt:lpstr>top</vt:lpstr>
      <vt:lpstr>top_2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2013-09-21T01:17:05Z</dcterms:modified>
</cp:coreProperties>
</file>