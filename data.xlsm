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845" yWindow="90" windowWidth="10170" windowHeight="7125" activeTab="1"/>
  </bookViews>
  <sheets>
    <sheet name="top" sheetId="1" r:id="rId1"/>
    <sheet name="result" sheetId="384" r:id="rId2"/>
    <sheet name="base" sheetId="2" r:id="rId3"/>
  </sheets>
  <functionGroups builtInGroupCount="17"/>
  <definedNames>
    <definedName name="Anglebase">base!$I$2:$I$17</definedName>
    <definedName name="Angletop">top!$I$2:$I$17</definedName>
    <definedName name="AreaB">result!$I$2:$I$18</definedName>
    <definedName name="Areabase">base!$B$2:$B$17</definedName>
    <definedName name="AreaT">result!$B$2:$B$18</definedName>
    <definedName name="Areatop">top!$B$2:$B$17</definedName>
    <definedName name="base">base!$A$2:$A$17</definedName>
    <definedName name="Displacement">result!$N$2:$N$18</definedName>
    <definedName name="Force">result!$S$2:$S$18</definedName>
    <definedName name="k">result!$R$2:$R$18</definedName>
    <definedName name="kd">result!$Q$2:$Q$18</definedName>
    <definedName name="kn">result!$P$2:$P$18</definedName>
    <definedName name="MajorB">result!$L$2:$L$18</definedName>
    <definedName name="Majorbase">base!$G$2:$G$17</definedName>
    <definedName name="MajorT">result!$G$2:$G$18</definedName>
    <definedName name="Majortop">top!$G$2:$G$17</definedName>
    <definedName name="Maxbase">base!$D$2:$D$17</definedName>
    <definedName name="Maxtop">top!$D$2:$D$17</definedName>
    <definedName name="Minbase">base!$C$2:$C$17</definedName>
    <definedName name="MinorB">result!$M$2:$M$18</definedName>
    <definedName name="Minorbase">base!$H$2:$H$17</definedName>
    <definedName name="MinorT">result!$H$2:$H$18</definedName>
    <definedName name="Minortop">top!$H$2:$H$17</definedName>
    <definedName name="Mintop">top!$C$2:$C$17</definedName>
    <definedName name="Scaled_XT">result!$E$2:$E$18</definedName>
    <definedName name="Scaled_YT">result!$F$2:$F$18</definedName>
    <definedName name="Theta">result!$O$2:$O$18</definedName>
    <definedName name="top">top!$A$2:$A$17</definedName>
    <definedName name="XB">result!$J$2:$J$18</definedName>
    <definedName name="Xbase">base!$E$2:$E$17</definedName>
    <definedName name="XT">result!$C$2:$C$18</definedName>
    <definedName name="Xtop">top!$E$2:$E$17</definedName>
    <definedName name="YB">result!$K$2:$K$18</definedName>
    <definedName name="Ybase">base!$F$2:$F$17</definedName>
    <definedName name="YT">result!$D$2:$D$18</definedName>
    <definedName name="Ytop">top!$F$2:$F$17</definedName>
  </definedNames>
  <calcPr calcId="144525"/>
</workbook>
</file>

<file path=xl/calcChain.xml><?xml version="1.0" encoding="utf-8"?>
<calcChain xmlns="http://schemas.openxmlformats.org/spreadsheetml/2006/main">
  <c r="F2" i="384" l="1"/>
  <c r="F3" i="384"/>
  <c r="F4" i="384"/>
  <c r="F5" i="384"/>
  <c r="F6" i="384"/>
  <c r="F7" i="384"/>
  <c r="F8" i="384"/>
  <c r="F9" i="384"/>
  <c r="F10" i="384"/>
  <c r="F11" i="384"/>
  <c r="F12" i="384"/>
  <c r="F13" i="384"/>
  <c r="F14" i="384"/>
  <c r="F15" i="384"/>
  <c r="F16" i="384"/>
  <c r="F17" i="384"/>
  <c r="F18" i="384"/>
  <c r="E2" i="384"/>
  <c r="E3" i="384"/>
  <c r="E4" i="384"/>
  <c r="E5" i="384"/>
  <c r="E6" i="384"/>
  <c r="E7" i="384"/>
  <c r="E8" i="384"/>
  <c r="E9" i="384"/>
  <c r="E10" i="384"/>
  <c r="E11" i="384"/>
  <c r="E12" i="384"/>
  <c r="E13" i="384"/>
  <c r="E14" i="384"/>
  <c r="E15" i="384"/>
  <c r="E16" i="384"/>
  <c r="E17" i="384"/>
  <c r="E18" i="384"/>
  <c r="S2" i="384"/>
  <c r="S3" i="384"/>
  <c r="S4" i="384"/>
  <c r="S5" i="384"/>
  <c r="S6" i="384"/>
  <c r="S7" i="384"/>
  <c r="S8" i="384"/>
  <c r="S9" i="384"/>
  <c r="S10" i="384"/>
  <c r="S11" i="384"/>
  <c r="S12" i="384"/>
  <c r="S13" i="384"/>
  <c r="S14" i="384"/>
  <c r="S15" i="384"/>
  <c r="S16" i="384"/>
  <c r="S17" i="384"/>
  <c r="S18" i="384"/>
  <c r="R2" i="384"/>
  <c r="R3" i="384"/>
  <c r="R4" i="384"/>
  <c r="R5" i="384"/>
  <c r="R6" i="384"/>
  <c r="R7" i="384"/>
  <c r="R8" i="384"/>
  <c r="R9" i="384"/>
  <c r="R10" i="384"/>
  <c r="R11" i="384"/>
  <c r="R12" i="384"/>
  <c r="R13" i="384"/>
  <c r="R14" i="384"/>
  <c r="R15" i="384"/>
  <c r="R16" i="384"/>
  <c r="R17" i="384"/>
  <c r="R18" i="384"/>
  <c r="Q2" i="384"/>
  <c r="Q3" i="384"/>
  <c r="Q4" i="384"/>
  <c r="Q5" i="384"/>
  <c r="Q6" i="384"/>
  <c r="Q7" i="384"/>
  <c r="Q8" i="384"/>
  <c r="Q9" i="384"/>
  <c r="Q10" i="384"/>
  <c r="Q11" i="384"/>
  <c r="Q12" i="384"/>
  <c r="Q13" i="384"/>
  <c r="Q14" i="384"/>
  <c r="Q15" i="384"/>
  <c r="Q16" i="384"/>
  <c r="Q17" i="384"/>
  <c r="Q18" i="384"/>
  <c r="P2" i="384"/>
  <c r="P3" i="384"/>
  <c r="P4" i="384"/>
  <c r="P5" i="384"/>
  <c r="P6" i="384"/>
  <c r="P7" i="384"/>
  <c r="P8" i="384"/>
  <c r="P9" i="384"/>
  <c r="P10" i="384"/>
  <c r="P11" i="384"/>
  <c r="P12" i="384"/>
  <c r="P13" i="384"/>
  <c r="P14" i="384"/>
  <c r="P15" i="384"/>
  <c r="P16" i="384"/>
  <c r="P17" i="384"/>
  <c r="P18" i="384"/>
  <c r="O2" i="384"/>
  <c r="O3" i="384"/>
  <c r="O4" i="384"/>
  <c r="O5" i="384"/>
  <c r="O6" i="384"/>
  <c r="O7" i="384"/>
  <c r="O8" i="384"/>
  <c r="O9" i="384"/>
  <c r="O10" i="384"/>
  <c r="O11" i="384"/>
  <c r="O12" i="384"/>
  <c r="O13" i="384"/>
  <c r="O14" i="384"/>
  <c r="O15" i="384"/>
  <c r="O16" i="384"/>
  <c r="O17" i="384"/>
  <c r="O18" i="384"/>
  <c r="N2" i="384"/>
  <c r="N3" i="384"/>
  <c r="N4" i="384"/>
  <c r="N5" i="384"/>
  <c r="N6" i="384"/>
  <c r="N7" i="384"/>
  <c r="N8" i="384"/>
  <c r="N9" i="384"/>
  <c r="N10" i="384"/>
  <c r="N11" i="384"/>
  <c r="N12" i="384"/>
  <c r="N13" i="384"/>
  <c r="N14" i="384"/>
  <c r="N15" i="384"/>
  <c r="N16" i="384"/>
  <c r="N17" i="384"/>
  <c r="N18" i="384"/>
</calcChain>
</file>

<file path=xl/sharedStrings.xml><?xml version="1.0" encoding="utf-8"?>
<sst xmlns="http://schemas.openxmlformats.org/spreadsheetml/2006/main" count="36" uniqueCount="27">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</sst>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result!$U$2:$U$46</c:f>
              <c:numCache>
                <c:formatCode>General</c:formatCode>
                <c:ptCount val="45"/>
                <c:pt idx="0">
                  <c:v>15.763</c:v>
                </c:pt>
                <c:pt idx="1">
                  <c:v>17.591000000000001</c:v>
                </c:pt>
                <c:pt idx="3">
                  <c:v>110.5</c:v>
                </c:pt>
                <c:pt idx="4">
                  <c:v>107.66800000000001</c:v>
                </c:pt>
                <c:pt idx="6">
                  <c:v>80.057000000000002</c:v>
                </c:pt>
                <c:pt idx="7">
                  <c:v>80.355000000000004</c:v>
                </c:pt>
                <c:pt idx="9">
                  <c:v>47.323999999999998</c:v>
                </c:pt>
                <c:pt idx="10">
                  <c:v>47.301999999999992</c:v>
                </c:pt>
                <c:pt idx="12">
                  <c:v>127.54300000000001</c:v>
                </c:pt>
                <c:pt idx="13">
                  <c:v>125.89500000000004</c:v>
                </c:pt>
                <c:pt idx="15">
                  <c:v>90.516999999999996</c:v>
                </c:pt>
                <c:pt idx="16">
                  <c:v>80.724999999999994</c:v>
                </c:pt>
                <c:pt idx="18">
                  <c:v>60.994</c:v>
                </c:pt>
                <c:pt idx="19">
                  <c:v>56.290000000000006</c:v>
                </c:pt>
                <c:pt idx="21">
                  <c:v>33.520000000000003</c:v>
                </c:pt>
                <c:pt idx="22">
                  <c:v>38.296000000000006</c:v>
                </c:pt>
                <c:pt idx="24">
                  <c:v>73.210999999999999</c:v>
                </c:pt>
                <c:pt idx="25">
                  <c:v>61.632999999999996</c:v>
                </c:pt>
                <c:pt idx="27">
                  <c:v>48.676000000000002</c:v>
                </c:pt>
                <c:pt idx="28">
                  <c:v>49.86</c:v>
                </c:pt>
                <c:pt idx="30">
                  <c:v>21.873999999999999</c:v>
                </c:pt>
                <c:pt idx="31">
                  <c:v>33.60799999999999</c:v>
                </c:pt>
                <c:pt idx="33">
                  <c:v>112.55500000000001</c:v>
                </c:pt>
                <c:pt idx="34">
                  <c:v>113.11700000000002</c:v>
                </c:pt>
                <c:pt idx="36">
                  <c:v>33.124000000000002</c:v>
                </c:pt>
                <c:pt idx="37">
                  <c:v>35.298000000000009</c:v>
                </c:pt>
                <c:pt idx="39">
                  <c:v>129.309</c:v>
                </c:pt>
                <c:pt idx="40">
                  <c:v>130.03099999999998</c:v>
                </c:pt>
                <c:pt idx="42">
                  <c:v>96.72</c:v>
                </c:pt>
                <c:pt idx="43">
                  <c:v>97.26400000000001</c:v>
                </c:pt>
              </c:numCache>
            </c:numRef>
          </c:xVal>
          <c:yVal>
            <c:numRef>
              <c:f>result!$V$2:$V$46</c:f>
              <c:numCache>
                <c:formatCode>General</c:formatCode>
                <c:ptCount val="45"/>
                <c:pt idx="0">
                  <c:v>94.915999999999997</c:v>
                </c:pt>
                <c:pt idx="1">
                  <c:v>93.31</c:v>
                </c:pt>
                <c:pt idx="3">
                  <c:v>94.051000000000002</c:v>
                </c:pt>
                <c:pt idx="4">
                  <c:v>88.533000000000001</c:v>
                </c:pt>
                <c:pt idx="6">
                  <c:v>92.525999999999996</c:v>
                </c:pt>
                <c:pt idx="7">
                  <c:v>85.267999999999986</c:v>
                </c:pt>
                <c:pt idx="9">
                  <c:v>90.960999999999999</c:v>
                </c:pt>
                <c:pt idx="10">
                  <c:v>81.093000000000004</c:v>
                </c:pt>
                <c:pt idx="12">
                  <c:v>77.403000000000006</c:v>
                </c:pt>
                <c:pt idx="13">
                  <c:v>85.641000000000005</c:v>
                </c:pt>
                <c:pt idx="15">
                  <c:v>76.421999999999997</c:v>
                </c:pt>
                <c:pt idx="16">
                  <c:v>85.265999999999991</c:v>
                </c:pt>
                <c:pt idx="18">
                  <c:v>71.043999999999997</c:v>
                </c:pt>
                <c:pt idx="19">
                  <c:v>72.483999999999995</c:v>
                </c:pt>
                <c:pt idx="21">
                  <c:v>70.31</c:v>
                </c:pt>
                <c:pt idx="22">
                  <c:v>71.087999999999994</c:v>
                </c:pt>
                <c:pt idx="24">
                  <c:v>52.963999999999999</c:v>
                </c:pt>
                <c:pt idx="25">
                  <c:v>66.465999999999994</c:v>
                </c:pt>
                <c:pt idx="27">
                  <c:v>47.031999999999996</c:v>
                </c:pt>
                <c:pt idx="28">
                  <c:v>52.493999999999986</c:v>
                </c:pt>
                <c:pt idx="30">
                  <c:v>46.670999999999999</c:v>
                </c:pt>
                <c:pt idx="31">
                  <c:v>53.134999999999998</c:v>
                </c:pt>
                <c:pt idx="33">
                  <c:v>46.555</c:v>
                </c:pt>
                <c:pt idx="34">
                  <c:v>47.982999999999997</c:v>
                </c:pt>
                <c:pt idx="36">
                  <c:v>24.206</c:v>
                </c:pt>
                <c:pt idx="37">
                  <c:v>36.378</c:v>
                </c:pt>
                <c:pt idx="39">
                  <c:v>20.62</c:v>
                </c:pt>
                <c:pt idx="40">
                  <c:v>21.822000000000006</c:v>
                </c:pt>
                <c:pt idx="42">
                  <c:v>19.808</c:v>
                </c:pt>
                <c:pt idx="43">
                  <c:v>21.485999999999997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95264"/>
        <c:axId val="32793728"/>
      </c:scatterChart>
      <c:valAx>
        <c:axId val="32795264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32793728"/>
        <c:crosses val="autoZero"/>
        <c:crossBetween val="midCat"/>
      </c:valAx>
      <c:valAx>
        <c:axId val="32793728"/>
        <c:scaling>
          <c:orientation val="minMax"/>
          <c:max val="12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795264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Y:\Documents\Education\Programing\VBA\Micropost\20121109%20Ryan-IS\2\Analyzed10\cell1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0</xdr:rowOff>
    </xdr:from>
    <xdr:to>
      <xdr:col>9</xdr:col>
      <xdr:colOff>546100</xdr:colOff>
      <xdr:row>20</xdr:row>
      <xdr:rowOff>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6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143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workbookViewId="0">
      <selection sqref="A1:I1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>
        <v>190</v>
      </c>
      <c r="C2">
        <v>255</v>
      </c>
      <c r="D2">
        <v>255</v>
      </c>
      <c r="E2">
        <v>15.763</v>
      </c>
      <c r="F2">
        <v>94.915999999999997</v>
      </c>
      <c r="G2">
        <v>16.085999999999999</v>
      </c>
      <c r="H2">
        <v>15.039</v>
      </c>
      <c r="I2">
        <v>176.785</v>
      </c>
    </row>
    <row r="3" spans="1:9" x14ac:dyDescent="0.25">
      <c r="A3">
        <v>2</v>
      </c>
      <c r="B3">
        <v>176</v>
      </c>
      <c r="C3">
        <v>255</v>
      </c>
      <c r="D3">
        <v>255</v>
      </c>
      <c r="E3">
        <v>110.5</v>
      </c>
      <c r="F3">
        <v>94.051000000000002</v>
      </c>
      <c r="G3">
        <v>15.16</v>
      </c>
      <c r="H3">
        <v>14.782</v>
      </c>
      <c r="I3">
        <v>173.56</v>
      </c>
    </row>
    <row r="4" spans="1:9" x14ac:dyDescent="0.25">
      <c r="A4">
        <v>3</v>
      </c>
      <c r="B4">
        <v>192</v>
      </c>
      <c r="C4">
        <v>255</v>
      </c>
      <c r="D4">
        <v>255</v>
      </c>
      <c r="E4">
        <v>80.057000000000002</v>
      </c>
      <c r="F4">
        <v>92.525999999999996</v>
      </c>
      <c r="G4">
        <v>15.972</v>
      </c>
      <c r="H4">
        <v>15.305999999999999</v>
      </c>
      <c r="I4">
        <v>9.1010000000000009</v>
      </c>
    </row>
    <row r="5" spans="1:9" x14ac:dyDescent="0.25">
      <c r="A5">
        <v>4</v>
      </c>
      <c r="B5">
        <v>204</v>
      </c>
      <c r="C5">
        <v>255</v>
      </c>
      <c r="D5">
        <v>255</v>
      </c>
      <c r="E5">
        <v>47.323999999999998</v>
      </c>
      <c r="F5">
        <v>90.960999999999999</v>
      </c>
      <c r="G5">
        <v>16.616</v>
      </c>
      <c r="H5">
        <v>15.632</v>
      </c>
      <c r="I5">
        <v>89.213999999999999</v>
      </c>
    </row>
    <row r="6" spans="1:9" x14ac:dyDescent="0.25">
      <c r="A6">
        <v>5</v>
      </c>
      <c r="B6">
        <v>186</v>
      </c>
      <c r="C6">
        <v>255</v>
      </c>
      <c r="D6">
        <v>255</v>
      </c>
      <c r="E6">
        <v>127.54300000000001</v>
      </c>
      <c r="F6">
        <v>77.403000000000006</v>
      </c>
      <c r="G6">
        <v>15.621</v>
      </c>
      <c r="H6">
        <v>15.16</v>
      </c>
      <c r="I6">
        <v>142.23400000000001</v>
      </c>
    </row>
    <row r="7" spans="1:9" x14ac:dyDescent="0.25">
      <c r="A7">
        <v>6</v>
      </c>
      <c r="B7">
        <v>180</v>
      </c>
      <c r="C7">
        <v>255</v>
      </c>
      <c r="D7">
        <v>255</v>
      </c>
      <c r="E7">
        <v>90.516999999999996</v>
      </c>
      <c r="F7">
        <v>76.421999999999997</v>
      </c>
      <c r="G7">
        <v>15.375999999999999</v>
      </c>
      <c r="H7">
        <v>14.904999999999999</v>
      </c>
      <c r="I7">
        <v>170.30099999999999</v>
      </c>
    </row>
    <row r="8" spans="1:9" x14ac:dyDescent="0.25">
      <c r="A8">
        <v>8</v>
      </c>
      <c r="B8">
        <v>160</v>
      </c>
      <c r="C8">
        <v>255</v>
      </c>
      <c r="D8">
        <v>255</v>
      </c>
      <c r="E8">
        <v>60.994</v>
      </c>
      <c r="F8">
        <v>71.043999999999997</v>
      </c>
      <c r="G8">
        <v>14.7</v>
      </c>
      <c r="H8">
        <v>13.858000000000001</v>
      </c>
      <c r="I8">
        <v>45.673999999999999</v>
      </c>
    </row>
    <row r="9" spans="1:9" x14ac:dyDescent="0.25">
      <c r="A9">
        <v>7</v>
      </c>
      <c r="B9">
        <v>205</v>
      </c>
      <c r="C9">
        <v>255</v>
      </c>
      <c r="D9">
        <v>255</v>
      </c>
      <c r="E9">
        <v>33.520000000000003</v>
      </c>
      <c r="F9">
        <v>70.31</v>
      </c>
      <c r="G9">
        <v>17.170999999999999</v>
      </c>
      <c r="H9">
        <v>15.201000000000001</v>
      </c>
      <c r="I9">
        <v>4.7469999999999999</v>
      </c>
    </row>
    <row r="10" spans="1:9" x14ac:dyDescent="0.25">
      <c r="A10">
        <v>9</v>
      </c>
      <c r="B10">
        <v>166</v>
      </c>
      <c r="C10">
        <v>255</v>
      </c>
      <c r="D10">
        <v>255</v>
      </c>
      <c r="E10">
        <v>73.210999999999999</v>
      </c>
      <c r="F10">
        <v>52.963999999999999</v>
      </c>
      <c r="G10">
        <v>15.042999999999999</v>
      </c>
      <c r="H10">
        <v>14.05</v>
      </c>
      <c r="I10">
        <v>160.81800000000001</v>
      </c>
    </row>
    <row r="11" spans="1:9" x14ac:dyDescent="0.25">
      <c r="A11">
        <v>10</v>
      </c>
      <c r="B11">
        <v>205</v>
      </c>
      <c r="C11">
        <v>255</v>
      </c>
      <c r="D11">
        <v>255</v>
      </c>
      <c r="E11">
        <v>48.676000000000002</v>
      </c>
      <c r="F11">
        <v>47.031999999999996</v>
      </c>
      <c r="G11">
        <v>16.716999999999999</v>
      </c>
      <c r="H11">
        <v>15.614000000000001</v>
      </c>
      <c r="I11">
        <v>142.869</v>
      </c>
    </row>
    <row r="12" spans="1:9" x14ac:dyDescent="0.25">
      <c r="A12">
        <v>11</v>
      </c>
      <c r="B12">
        <v>187</v>
      </c>
      <c r="C12">
        <v>255</v>
      </c>
      <c r="D12">
        <v>255</v>
      </c>
      <c r="E12">
        <v>21.873999999999999</v>
      </c>
      <c r="F12">
        <v>46.670999999999999</v>
      </c>
      <c r="G12">
        <v>16.155999999999999</v>
      </c>
      <c r="H12">
        <v>14.738</v>
      </c>
      <c r="I12">
        <v>12.407</v>
      </c>
    </row>
    <row r="13" spans="1:9" x14ac:dyDescent="0.25">
      <c r="A13">
        <v>12</v>
      </c>
      <c r="B13">
        <v>181</v>
      </c>
      <c r="C13">
        <v>255</v>
      </c>
      <c r="D13">
        <v>255</v>
      </c>
      <c r="E13">
        <v>112.55500000000001</v>
      </c>
      <c r="F13">
        <v>46.555</v>
      </c>
      <c r="G13">
        <v>15.297000000000001</v>
      </c>
      <c r="H13">
        <v>15.065</v>
      </c>
      <c r="I13">
        <v>179.60400000000001</v>
      </c>
    </row>
    <row r="14" spans="1:9" x14ac:dyDescent="0.25">
      <c r="A14">
        <v>13</v>
      </c>
      <c r="B14">
        <v>194</v>
      </c>
      <c r="C14">
        <v>255</v>
      </c>
      <c r="D14">
        <v>255</v>
      </c>
      <c r="E14">
        <v>33.124000000000002</v>
      </c>
      <c r="F14">
        <v>24.206</v>
      </c>
      <c r="G14">
        <v>15.878</v>
      </c>
      <c r="H14">
        <v>15.555999999999999</v>
      </c>
      <c r="I14">
        <v>62.485999999999997</v>
      </c>
    </row>
    <row r="15" spans="1:9" x14ac:dyDescent="0.25">
      <c r="A15">
        <v>14</v>
      </c>
      <c r="B15">
        <v>183</v>
      </c>
      <c r="C15">
        <v>255</v>
      </c>
      <c r="D15">
        <v>255</v>
      </c>
      <c r="E15">
        <v>129.309</v>
      </c>
      <c r="F15">
        <v>20.62</v>
      </c>
      <c r="G15">
        <v>15.582000000000001</v>
      </c>
      <c r="H15">
        <v>14.952999999999999</v>
      </c>
      <c r="I15">
        <v>144.10499999999999</v>
      </c>
    </row>
    <row r="16" spans="1:9" x14ac:dyDescent="0.25">
      <c r="A16">
        <v>16</v>
      </c>
      <c r="B16">
        <v>182</v>
      </c>
      <c r="C16">
        <v>255</v>
      </c>
      <c r="D16">
        <v>255</v>
      </c>
      <c r="E16">
        <v>96.72</v>
      </c>
      <c r="F16">
        <v>19.808</v>
      </c>
      <c r="G16">
        <v>15.51</v>
      </c>
      <c r="H16">
        <v>14.94</v>
      </c>
      <c r="I16">
        <v>26.692</v>
      </c>
    </row>
    <row r="17" spans="1:9" x14ac:dyDescent="0.25">
      <c r="A17">
        <v>15</v>
      </c>
      <c r="B17">
        <v>185</v>
      </c>
      <c r="C17">
        <v>255</v>
      </c>
      <c r="D17">
        <v>255</v>
      </c>
      <c r="E17">
        <v>64.646000000000001</v>
      </c>
      <c r="F17">
        <v>19.327000000000002</v>
      </c>
      <c r="G17">
        <v>15.603</v>
      </c>
      <c r="H17">
        <v>15.097</v>
      </c>
      <c r="I17">
        <v>157.71700000000001</v>
      </c>
    </row>
  </sheetData>
  <sortState ref="A1:I17">
    <sortCondition descending="1" ref="F2:F1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46"/>
  <sheetViews>
    <sheetView tabSelected="1" workbookViewId="0">
      <selection activeCell="Q7" sqref="Q7"/>
    </sheetView>
  </sheetViews>
  <sheetFormatPr defaultRowHeight="15" x14ac:dyDescent="0.25"/>
  <sheetData>
    <row r="1" spans="1:22" x14ac:dyDescent="0.25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25">
      <c r="A2" s="1">
        <v>0.16944444444444443</v>
      </c>
      <c r="B2">
        <v>190</v>
      </c>
      <c r="C2">
        <v>15.763</v>
      </c>
      <c r="D2">
        <v>94.915999999999997</v>
      </c>
      <c r="E2">
        <f>XB + (XT - XB) *3</f>
        <v>17.591000000000001</v>
      </c>
      <c r="F2">
        <f>YB + (YT - YB) *3</f>
        <v>93.31</v>
      </c>
      <c r="G2">
        <v>16.085999999999999</v>
      </c>
      <c r="H2">
        <v>15.039</v>
      </c>
      <c r="I2">
        <v>215</v>
      </c>
      <c r="J2">
        <v>14.849</v>
      </c>
      <c r="K2">
        <v>95.718999999999994</v>
      </c>
      <c r="L2">
        <v>17.283000000000001</v>
      </c>
      <c r="M2">
        <v>15.839</v>
      </c>
      <c r="N2">
        <f>SQRT((XT - XB)^2 + (YT - YB)^2)</f>
        <v>1.216636757623242</v>
      </c>
      <c r="O2">
        <f>ATAN((YT - YB) / (XT - XB))</f>
        <v>-0.72084035800508417</v>
      </c>
      <c r="P2">
        <f>((3*PI()*750*250) * MajorB * MinorB* ((MajorB^2)*(COS(Theta)^2) + (MinorB^2)*(SIN(Theta)^2)))</f>
        <v>134417693714.27603</v>
      </c>
      <c r="Q2">
        <f>(((4 *0*250* (1^3)) + 3 *750*1*((MajorB^2)*(COS(Theta)^2) + (MinorB^2)*(SIN(Theta)^2))))</f>
        <v>625201.00800480309</v>
      </c>
      <c r="R2">
        <f>kn*kd</f>
        <v>8.4038077603846256E+16</v>
      </c>
      <c r="S2">
        <f>k*Displacement</f>
        <v>1.022438142528339E+17</v>
      </c>
      <c r="T2">
        <v>0</v>
      </c>
      <c r="U2">
        <v>15.763</v>
      </c>
      <c r="V2">
        <v>94.915999999999997</v>
      </c>
    </row>
    <row r="3" spans="1:22" x14ac:dyDescent="0.25">
      <c r="A3" s="1">
        <v>4.2361111111111106E-2</v>
      </c>
      <c r="B3">
        <v>176</v>
      </c>
      <c r="C3">
        <v>110.5</v>
      </c>
      <c r="D3">
        <v>94.051000000000002</v>
      </c>
      <c r="E3">
        <f>XB + (XT - XB) *3</f>
        <v>107.66800000000001</v>
      </c>
      <c r="F3">
        <f>YB + (YT - YB) *3</f>
        <v>88.533000000000001</v>
      </c>
      <c r="G3">
        <v>15.16</v>
      </c>
      <c r="H3">
        <v>14.782</v>
      </c>
      <c r="I3">
        <v>255</v>
      </c>
      <c r="J3">
        <v>111.916</v>
      </c>
      <c r="K3">
        <v>96.81</v>
      </c>
      <c r="L3">
        <v>18.864000000000001</v>
      </c>
      <c r="M3">
        <v>17.212</v>
      </c>
      <c r="N3">
        <f>SQRT((XT - XB)^2 + (YT - YB)^2)</f>
        <v>3.1011509153860914</v>
      </c>
      <c r="O3">
        <f>ATAN((YT - YB) / (XT - XB))</f>
        <v>1.0966212728579241</v>
      </c>
      <c r="P3">
        <f>((3*PI()*750*250) * MajorB * MinorB* ((MajorB^2)*(COS(Theta)^2) + (MinorB^2)*(SIN(Theta)^2)))</f>
        <v>177110225442.46353</v>
      </c>
      <c r="Q3">
        <f>(((4 *0*250* (1^3)) + 3 *750*1*((MajorB^2)*(COS(Theta)^2) + (MinorB^2)*(SIN(Theta)^2))))</f>
        <v>694526.19331819215</v>
      </c>
      <c r="R3">
        <f>kn*kd</f>
        <v>1.2300769067428102E+17</v>
      </c>
      <c r="S3">
        <f>k*Displacement</f>
        <v>3.8146541253407578E+17</v>
      </c>
      <c r="T3">
        <v>0</v>
      </c>
      <c r="U3">
        <v>17.591000000000001</v>
      </c>
      <c r="V3">
        <v>93.31</v>
      </c>
    </row>
    <row r="4" spans="1:22" x14ac:dyDescent="0.25">
      <c r="A4" s="1">
        <v>8.4722222222222213E-2</v>
      </c>
      <c r="B4">
        <v>192</v>
      </c>
      <c r="C4">
        <v>80.057000000000002</v>
      </c>
      <c r="D4">
        <v>92.525999999999996</v>
      </c>
      <c r="E4">
        <f>XB + (XT - XB) *3</f>
        <v>80.355000000000004</v>
      </c>
      <c r="F4">
        <f>YB + (YT - YB) *3</f>
        <v>85.267999999999986</v>
      </c>
      <c r="G4">
        <v>15.972</v>
      </c>
      <c r="H4">
        <v>15.305999999999999</v>
      </c>
      <c r="I4">
        <v>255</v>
      </c>
      <c r="J4">
        <v>79.908000000000001</v>
      </c>
      <c r="K4">
        <v>96.155000000000001</v>
      </c>
      <c r="L4">
        <v>19.28</v>
      </c>
      <c r="M4">
        <v>16.84</v>
      </c>
      <c r="N4">
        <f>SQRT((XT - XB)^2 + (YT - YB)^2)</f>
        <v>3.6320575435970226</v>
      </c>
      <c r="O4">
        <f>ATAN((YT - YB) / (XT - XB))</f>
        <v>-1.5297612322911884</v>
      </c>
      <c r="P4">
        <f>((3*PI()*750*250) * MajorB * MinorB* ((MajorB^2)*(COS(Theta)^2) + (MinorB^2)*(SIN(Theta)^2)))</f>
        <v>162791894378.81885</v>
      </c>
      <c r="Q4">
        <f>(((4 *0*250* (1^3)) + 3 *750*1*((MajorB^2)*(COS(Theta)^2) + (MinorB^2)*(SIN(Theta)^2))))</f>
        <v>638401.32380133122</v>
      </c>
      <c r="R4">
        <f>kn*kd</f>
        <v>1.0392656087556445E+17</v>
      </c>
      <c r="S4">
        <f>k*Displacement</f>
        <v>3.7746724940818906E+17</v>
      </c>
      <c r="T4">
        <v>0</v>
      </c>
    </row>
    <row r="5" spans="1:22" x14ac:dyDescent="0.25">
      <c r="A5" s="1">
        <v>0.12708333333333333</v>
      </c>
      <c r="B5">
        <v>204</v>
      </c>
      <c r="C5">
        <v>47.323999999999998</v>
      </c>
      <c r="D5">
        <v>90.960999999999999</v>
      </c>
      <c r="E5">
        <f>XB + (XT - XB) *3</f>
        <v>47.301999999999992</v>
      </c>
      <c r="F5">
        <f>YB + (YT - YB) *3</f>
        <v>81.093000000000004</v>
      </c>
      <c r="G5">
        <v>16.616</v>
      </c>
      <c r="H5">
        <v>15.632</v>
      </c>
      <c r="I5">
        <v>248</v>
      </c>
      <c r="J5">
        <v>47.335000000000001</v>
      </c>
      <c r="K5">
        <v>95.894999999999996</v>
      </c>
      <c r="L5">
        <v>17.911999999999999</v>
      </c>
      <c r="M5">
        <v>17.629000000000001</v>
      </c>
      <c r="N5">
        <f>SQRT((XT - XB)^2 + (YT - YB)^2)</f>
        <v>4.934012261841267</v>
      </c>
      <c r="O5">
        <f>ATAN((YT - YB) / (XT - XB))</f>
        <v>1.5685669020329518</v>
      </c>
      <c r="P5">
        <f>((3*PI()*750*250) * MajorB * MinorB* ((MajorB^2)*(COS(Theta)^2) + (MinorB^2)*(SIN(Theta)^2)))</f>
        <v>173420160254.20984</v>
      </c>
      <c r="Q5">
        <f>(((4 *0*250* (1^3)) + 3 *750*1*((MajorB^2)*(COS(Theta)^2) + (MinorB^2)*(SIN(Theta)^2))))</f>
        <v>699258.80473212665</v>
      </c>
      <c r="R5">
        <f>kn*kd</f>
        <v>1.2126557397581262E+17</v>
      </c>
      <c r="S5">
        <f>k*Displacement</f>
        <v>5.9832582893587878E+17</v>
      </c>
      <c r="T5">
        <v>1</v>
      </c>
      <c r="U5">
        <v>110.5</v>
      </c>
      <c r="V5">
        <v>94.051000000000002</v>
      </c>
    </row>
    <row r="6" spans="1:22" x14ac:dyDescent="0.25">
      <c r="A6" s="1">
        <v>0.21180555555555555</v>
      </c>
      <c r="B6">
        <v>186</v>
      </c>
      <c r="C6">
        <v>127.54300000000001</v>
      </c>
      <c r="D6">
        <v>77.403000000000006</v>
      </c>
      <c r="E6">
        <f>XB + (XT - XB) *3</f>
        <v>125.89500000000004</v>
      </c>
      <c r="F6">
        <f>YB + (YT - YB) *3</f>
        <v>85.641000000000005</v>
      </c>
      <c r="G6">
        <v>15.621</v>
      </c>
      <c r="H6">
        <v>15.16</v>
      </c>
      <c r="I6">
        <v>241</v>
      </c>
      <c r="J6">
        <v>128.36699999999999</v>
      </c>
      <c r="K6">
        <v>73.284000000000006</v>
      </c>
      <c r="L6">
        <v>18.34</v>
      </c>
      <c r="M6">
        <v>16.731000000000002</v>
      </c>
      <c r="N6">
        <f>SQRT((XT - XB)^2 + (YT - YB)^2)</f>
        <v>4.2006115031028486</v>
      </c>
      <c r="O6">
        <f>ATAN((YT - YB) / (XT - XB))</f>
        <v>-1.3733540794246277</v>
      </c>
      <c r="P6">
        <f>((3*PI()*750*250) * MajorB * MinorB* ((MajorB^2)*(COS(Theta)^2) + (MinorB^2)*(SIN(Theta)^2)))</f>
        <v>152965405066.10388</v>
      </c>
      <c r="Q6">
        <f>(((4 *0*250* (1^3)) + 3 *750*1*((MajorB^2)*(COS(Theta)^2) + (MinorB^2)*(SIN(Theta)^2))))</f>
        <v>634719.89192576788</v>
      </c>
      <c r="R6">
        <f>kn*kd</f>
        <v>9.7090185371938768E+16</v>
      </c>
      <c r="S6">
        <f>k*Displacement</f>
        <v>4.0783814951175392E+17</v>
      </c>
      <c r="T6">
        <v>1</v>
      </c>
      <c r="U6">
        <v>107.66800000000001</v>
      </c>
      <c r="V6">
        <v>88.533000000000001</v>
      </c>
    </row>
    <row r="7" spans="1:22" x14ac:dyDescent="0.25">
      <c r="A7" s="1">
        <v>0.25416666666666665</v>
      </c>
      <c r="B7">
        <v>180</v>
      </c>
      <c r="C7">
        <v>90.516999999999996</v>
      </c>
      <c r="D7">
        <v>76.421999999999997</v>
      </c>
      <c r="E7">
        <f>XB + (XT - XB) *3</f>
        <v>80.724999999999994</v>
      </c>
      <c r="F7">
        <f>YB + (YT - YB) *3</f>
        <v>85.265999999999991</v>
      </c>
      <c r="G7">
        <v>15.375999999999999</v>
      </c>
      <c r="H7">
        <v>14.904999999999999</v>
      </c>
      <c r="I7">
        <v>242</v>
      </c>
      <c r="J7">
        <v>95.412999999999997</v>
      </c>
      <c r="K7">
        <v>72</v>
      </c>
      <c r="L7">
        <v>18.526</v>
      </c>
      <c r="M7">
        <v>16.632000000000001</v>
      </c>
      <c r="N7">
        <f>SQRT((XT - XB)^2 + (YT - YB)^2)</f>
        <v>6.5973403732110096</v>
      </c>
      <c r="O7">
        <f>ATAN((YT - YB) / (XT - XB))</f>
        <v>-0.73457268802511311</v>
      </c>
      <c r="P7">
        <f>((3*PI()*750*250) * MajorB * MinorB* ((MajorB^2)*(COS(Theta)^2) + (MinorB^2)*(SIN(Theta)^2)))</f>
        <v>170590284467.3989</v>
      </c>
      <c r="Q7">
        <f>(((4 *0*250* (1^3)) + 3 *750*1*((MajorB^2)*(COS(Theta)^2) + (MinorB^2)*(SIN(Theta)^2))))</f>
        <v>704917.47350795229</v>
      </c>
      <c r="R7">
        <f>kn*kd</f>
        <v>1.2025207233176171E+17</v>
      </c>
      <c r="S7">
        <f>k*Displacement</f>
        <v>7.9334385175662208E+17</v>
      </c>
      <c r="T7">
        <v>1</v>
      </c>
    </row>
    <row r="8" spans="1:22" x14ac:dyDescent="0.25">
      <c r="A8" s="1">
        <v>0.29652777777777778</v>
      </c>
      <c r="B8">
        <v>160</v>
      </c>
      <c r="C8">
        <v>60.994</v>
      </c>
      <c r="D8">
        <v>71.043999999999997</v>
      </c>
      <c r="E8">
        <f>XB + (XT - XB) *3</f>
        <v>56.290000000000006</v>
      </c>
      <c r="F8">
        <f>YB + (YT - YB) *3</f>
        <v>72.483999999999995</v>
      </c>
      <c r="G8">
        <v>14.7</v>
      </c>
      <c r="H8">
        <v>13.858000000000001</v>
      </c>
      <c r="I8">
        <v>221</v>
      </c>
      <c r="J8">
        <v>63.345999999999997</v>
      </c>
      <c r="K8">
        <v>70.323999999999998</v>
      </c>
      <c r="L8">
        <v>17.289000000000001</v>
      </c>
      <c r="M8">
        <v>16.276</v>
      </c>
      <c r="N8">
        <f>SQRT((XT - XB)^2 + (YT - YB)^2)</f>
        <v>2.4597365712612365</v>
      </c>
      <c r="O8">
        <f>ATAN((YT - YB) / (XT - XB))</f>
        <v>-0.29706421234104274</v>
      </c>
      <c r="P8">
        <f>((3*PI()*750*250) * MajorB * MinorB* ((MajorB^2)*(COS(Theta)^2) + (MinorB^2)*(SIN(Theta)^2)))</f>
        <v>147189264226.58835</v>
      </c>
      <c r="Q8">
        <f>(((4 *0*250* (1^3)) + 3 *750*1*((MajorB^2)*(COS(Theta)^2) + (MinorB^2)*(SIN(Theta)^2))))</f>
        <v>665991.51710672129</v>
      </c>
      <c r="R8">
        <f>kn*kd</f>
        <v>9.8026801384087632E+16</v>
      </c>
      <c r="S8">
        <f>k*Displacement</f>
        <v>2.4112010832820195E+17</v>
      </c>
      <c r="T8">
        <v>2</v>
      </c>
      <c r="U8">
        <v>80.057000000000002</v>
      </c>
      <c r="V8">
        <v>92.525999999999996</v>
      </c>
    </row>
    <row r="9" spans="1:22" x14ac:dyDescent="0.25">
      <c r="A9" s="1">
        <v>0.33888888888888885</v>
      </c>
      <c r="B9">
        <v>205</v>
      </c>
      <c r="C9">
        <v>33.520000000000003</v>
      </c>
      <c r="D9">
        <v>70.31</v>
      </c>
      <c r="E9">
        <f>XB + (XT - XB) *3</f>
        <v>38.296000000000006</v>
      </c>
      <c r="F9">
        <f>YB + (YT - YB) *3</f>
        <v>71.087999999999994</v>
      </c>
      <c r="G9">
        <v>17.170999999999999</v>
      </c>
      <c r="H9">
        <v>15.201000000000001</v>
      </c>
      <c r="I9">
        <v>247</v>
      </c>
      <c r="J9">
        <v>31.132000000000001</v>
      </c>
      <c r="K9">
        <v>69.921000000000006</v>
      </c>
      <c r="L9">
        <v>18.382000000000001</v>
      </c>
      <c r="M9">
        <v>17.109000000000002</v>
      </c>
      <c r="N9">
        <f>SQRT((XT - XB)^2 + (YT - YB)^2)</f>
        <v>2.4194761829784572</v>
      </c>
      <c r="O9">
        <f>ATAN((YT - YB) / (XT - XB))</f>
        <v>0.16147946781592967</v>
      </c>
      <c r="P9">
        <f>((3*PI()*750*250) * MajorB * MinorB* ((MajorB^2)*(COS(Theta)^2) + (MinorB^2)*(SIN(Theta)^2)))</f>
        <v>187142159901.55478</v>
      </c>
      <c r="Q9">
        <f>(((4 *0*250* (1^3)) + 3 *750*1*((MajorB^2)*(COS(Theta)^2) + (MinorB^2)*(SIN(Theta)^2))))</f>
        <v>757642.56923866179</v>
      </c>
      <c r="R9">
        <f>kn*kd</f>
        <v>1.4178686684068643E+17</v>
      </c>
      <c r="S9">
        <f>k*Displacement</f>
        <v>3.4304994738017882E+17</v>
      </c>
      <c r="T9">
        <v>2</v>
      </c>
      <c r="U9">
        <v>80.355000000000004</v>
      </c>
      <c r="V9">
        <v>85.267999999999986</v>
      </c>
    </row>
    <row r="10" spans="1:22" x14ac:dyDescent="0.25">
      <c r="A10" s="1">
        <v>0.38125000000000003</v>
      </c>
      <c r="B10">
        <v>166</v>
      </c>
      <c r="C10">
        <v>73.210999999999999</v>
      </c>
      <c r="D10">
        <v>52.963999999999999</v>
      </c>
      <c r="E10">
        <f>XB + (XT - XB) *3</f>
        <v>61.632999999999996</v>
      </c>
      <c r="F10">
        <f>YB + (YT - YB) *3</f>
        <v>66.465999999999994</v>
      </c>
      <c r="G10">
        <v>15.042999999999999</v>
      </c>
      <c r="H10">
        <v>14.05</v>
      </c>
      <c r="I10">
        <v>282</v>
      </c>
      <c r="J10">
        <v>79</v>
      </c>
      <c r="K10">
        <v>46.213000000000001</v>
      </c>
      <c r="L10">
        <v>20.774000000000001</v>
      </c>
      <c r="M10">
        <v>17.283999999999999</v>
      </c>
      <c r="N10">
        <f>SQRT((XT - XB)^2 + (YT - YB)^2)</f>
        <v>8.8931727746625935</v>
      </c>
      <c r="O10">
        <f>ATAN((YT - YB) / (XT - XB))</f>
        <v>-0.86196271484021592</v>
      </c>
      <c r="P10">
        <f>((3*PI()*750*250) * MajorB * MinorB* ((MajorB^2)*(COS(Theta)^2) + (MinorB^2)*(SIN(Theta)^2)))</f>
        <v>225261643084.66891</v>
      </c>
      <c r="Q10">
        <f>(((4 *0*250* (1^3)) + 3 *750*1*((MajorB^2)*(COS(Theta)^2) + (MinorB^2)*(SIN(Theta)^2))))</f>
        <v>798790.66575567471</v>
      </c>
      <c r="R10">
        <f>kn*kd</f>
        <v>1.7993689784881987E+17</v>
      </c>
      <c r="S10">
        <f>k*Displacement</f>
        <v>1.600209921106369E+18</v>
      </c>
      <c r="T10">
        <v>2</v>
      </c>
    </row>
    <row r="11" spans="1:22" x14ac:dyDescent="0.25">
      <c r="A11" s="1">
        <v>0.46597222222222223</v>
      </c>
      <c r="B11">
        <v>205</v>
      </c>
      <c r="C11">
        <v>48.676000000000002</v>
      </c>
      <c r="D11">
        <v>47.031999999999996</v>
      </c>
      <c r="E11">
        <f>XB + (XT - XB) *3</f>
        <v>49.86</v>
      </c>
      <c r="F11">
        <f>YB + (YT - YB) *3</f>
        <v>52.493999999999986</v>
      </c>
      <c r="G11">
        <v>16.716999999999999</v>
      </c>
      <c r="H11">
        <v>15.614000000000001</v>
      </c>
      <c r="I11">
        <v>221</v>
      </c>
      <c r="J11">
        <v>48.084000000000003</v>
      </c>
      <c r="K11">
        <v>44.301000000000002</v>
      </c>
      <c r="L11">
        <v>17.07</v>
      </c>
      <c r="M11">
        <v>16.484999999999999</v>
      </c>
      <c r="N11">
        <f>SQRT((XT - XB)^2 + (YT - YB)^2)</f>
        <v>2.7944274905604489</v>
      </c>
      <c r="O11">
        <f>ATAN((YT - YB) / (XT - XB))</f>
        <v>1.3573285916358819</v>
      </c>
      <c r="P11">
        <f>((3*PI()*750*250) * MajorB * MinorB* ((MajorB^2)*(COS(Theta)^2) + (MinorB^2)*(SIN(Theta)^2)))</f>
        <v>135574626118.12608</v>
      </c>
      <c r="Q11">
        <f>(((4 *0*250* (1^3)) + 3 *750*1*((MajorB^2)*(COS(Theta)^2) + (MinorB^2)*(SIN(Theta)^2))))</f>
        <v>613431.4830822316</v>
      </c>
      <c r="R11">
        <f>kn*kd</f>
        <v>8.3165743967961136E+16</v>
      </c>
      <c r="S11">
        <f>k*Displacement</f>
        <v>2.3240064121698243E+17</v>
      </c>
      <c r="T11">
        <v>3</v>
      </c>
      <c r="U11">
        <v>47.323999999999998</v>
      </c>
      <c r="V11">
        <v>90.960999999999999</v>
      </c>
    </row>
    <row r="12" spans="1:22" x14ac:dyDescent="0.25">
      <c r="A12" s="1">
        <v>0.5083333333333333</v>
      </c>
      <c r="B12">
        <v>187</v>
      </c>
      <c r="C12">
        <v>21.873999999999999</v>
      </c>
      <c r="D12">
        <v>46.670999999999999</v>
      </c>
      <c r="E12">
        <f>XB + (XT - XB) *3</f>
        <v>33.60799999999999</v>
      </c>
      <c r="F12">
        <f>YB + (YT - YB) *3</f>
        <v>53.134999999999998</v>
      </c>
      <c r="G12">
        <v>16.155999999999999</v>
      </c>
      <c r="H12">
        <v>14.738</v>
      </c>
      <c r="I12">
        <v>229</v>
      </c>
      <c r="J12">
        <v>16.007000000000001</v>
      </c>
      <c r="K12">
        <v>43.439</v>
      </c>
      <c r="L12">
        <v>17.754999999999999</v>
      </c>
      <c r="M12">
        <v>16.422000000000001</v>
      </c>
      <c r="N12">
        <f>SQRT((XT - XB)^2 + (YT - YB)^2)</f>
        <v>6.6983216554596687</v>
      </c>
      <c r="O12">
        <f>ATAN((YT - YB) / (XT - XB))</f>
        <v>0.50351688897784452</v>
      </c>
      <c r="P12">
        <f>((3*PI()*750*250) * MajorB * MinorB* ((MajorB^2)*(COS(Theta)^2) + (MinorB^2)*(SIN(Theta)^2)))</f>
        <v>156962795840.07053</v>
      </c>
      <c r="Q12">
        <f>(((4 *0*250* (1^3)) + 3 *750*1*((MajorB^2)*(COS(Theta)^2) + (MinorB^2)*(SIN(Theta)^2))))</f>
        <v>685425.28297074849</v>
      </c>
      <c r="R12">
        <f>kn*kd</f>
        <v>1.0758626875456016E+17</v>
      </c>
      <c r="S12">
        <f>k*Displacement</f>
        <v>7.2064743382877427E+17</v>
      </c>
      <c r="T12">
        <v>3</v>
      </c>
      <c r="U12">
        <v>47.301999999999992</v>
      </c>
      <c r="V12">
        <v>81.093000000000004</v>
      </c>
    </row>
    <row r="13" spans="1:22" x14ac:dyDescent="0.25">
      <c r="A13" s="1">
        <v>0.4236111111111111</v>
      </c>
      <c r="B13">
        <v>181</v>
      </c>
      <c r="C13">
        <v>112.55500000000001</v>
      </c>
      <c r="D13">
        <v>46.555</v>
      </c>
      <c r="E13">
        <f>XB + (XT - XB) *3</f>
        <v>113.11700000000002</v>
      </c>
      <c r="F13">
        <f>YB + (YT - YB) *3</f>
        <v>47.982999999999997</v>
      </c>
      <c r="G13">
        <v>15.297000000000001</v>
      </c>
      <c r="H13">
        <v>15.065</v>
      </c>
      <c r="I13">
        <v>217</v>
      </c>
      <c r="J13">
        <v>112.274</v>
      </c>
      <c r="K13">
        <v>45.841000000000001</v>
      </c>
      <c r="L13">
        <v>16.96</v>
      </c>
      <c r="M13">
        <v>16.29</v>
      </c>
      <c r="N13">
        <f>SQRT((XT - XB)^2 + (YT - YB)^2)</f>
        <v>0.76730502409406998</v>
      </c>
      <c r="O13">
        <f>ATAN((YT - YB) / (XT - XB))</f>
        <v>1.1958562039085039</v>
      </c>
      <c r="P13">
        <f>((3*PI()*750*250) * MajorB * MinorB* ((MajorB^2)*(COS(Theta)^2) + (MinorB^2)*(SIN(Theta)^2)))</f>
        <v>131015871920.94011</v>
      </c>
      <c r="Q13">
        <f>(((4 *0*250* (1^3)) + 3 *750*1*((MajorB^2)*(COS(Theta)^2) + (MinorB^2)*(SIN(Theta)^2))))</f>
        <v>603791.64320373279</v>
      </c>
      <c r="R13">
        <f>kn*kd</f>
        <v>7.9106288592914224E+16</v>
      </c>
      <c r="S13">
        <f>k*Displacement</f>
        <v>6.0698652674778504E+16</v>
      </c>
      <c r="T13">
        <v>3</v>
      </c>
    </row>
    <row r="14" spans="1:22" x14ac:dyDescent="0.25">
      <c r="A14" s="1">
        <v>0.6777777777777777</v>
      </c>
      <c r="B14">
        <v>194</v>
      </c>
      <c r="C14">
        <v>33.124000000000002</v>
      </c>
      <c r="D14">
        <v>24.206</v>
      </c>
      <c r="E14">
        <f>XB + (XT - XB) *3</f>
        <v>35.298000000000009</v>
      </c>
      <c r="F14">
        <f>YB + (YT - YB) *3</f>
        <v>36.378</v>
      </c>
      <c r="G14">
        <v>15.878</v>
      </c>
      <c r="H14">
        <v>15.555999999999999</v>
      </c>
      <c r="I14">
        <v>216</v>
      </c>
      <c r="J14">
        <v>32.036999999999999</v>
      </c>
      <c r="K14">
        <v>18.12</v>
      </c>
      <c r="L14">
        <v>16.678999999999998</v>
      </c>
      <c r="M14">
        <v>16.489000000000001</v>
      </c>
      <c r="N14">
        <f>SQRT((XT - XB)^2 + (YT - YB)^2)</f>
        <v>6.1823106521752846</v>
      </c>
      <c r="O14">
        <f>ATAN((YT - YB) / (XT - XB))</f>
        <v>1.3940533493779894</v>
      </c>
      <c r="P14">
        <f>((3*PI()*750*250) * MajorB * MinorB* ((MajorB^2)*(COS(Theta)^2) + (MinorB^2)*(SIN(Theta)^2)))</f>
        <v>132231961741.29648</v>
      </c>
      <c r="Q14">
        <f>(((4 *0*250* (1^3)) + 3 *750*1*((MajorB^2)*(COS(Theta)^2) + (MinorB^2)*(SIN(Theta)^2))))</f>
        <v>612184.36400701955</v>
      </c>
      <c r="R14">
        <f>kn*kd</f>
        <v>8.0950339399996128E+16</v>
      </c>
      <c r="S14">
        <f>k*Displacement</f>
        <v>5.004601455698007E+17</v>
      </c>
      <c r="T14">
        <v>4</v>
      </c>
      <c r="U14">
        <v>127.54300000000001</v>
      </c>
      <c r="V14">
        <v>77.403000000000006</v>
      </c>
    </row>
    <row r="15" spans="1:22" x14ac:dyDescent="0.25">
      <c r="A15" s="1">
        <v>0.55069444444444449</v>
      </c>
      <c r="B15">
        <v>183</v>
      </c>
      <c r="C15">
        <v>129.309</v>
      </c>
      <c r="D15">
        <v>20.62</v>
      </c>
      <c r="E15">
        <f>XB + (XT - XB) *3</f>
        <v>130.03099999999998</v>
      </c>
      <c r="F15">
        <f>YB + (YT - YB) *3</f>
        <v>21.822000000000006</v>
      </c>
      <c r="G15">
        <v>15.582000000000001</v>
      </c>
      <c r="H15">
        <v>14.952999999999999</v>
      </c>
      <c r="I15">
        <v>212</v>
      </c>
      <c r="J15">
        <v>128.94800000000001</v>
      </c>
      <c r="K15">
        <v>20.018999999999998</v>
      </c>
      <c r="L15">
        <v>16.585999999999999</v>
      </c>
      <c r="M15">
        <v>16.274000000000001</v>
      </c>
      <c r="N15">
        <f>SQRT((XT - XB)^2 + (YT - YB)^2)</f>
        <v>0.70108629996598559</v>
      </c>
      <c r="O15">
        <f>ATAN((YT - YB) / (XT - XB))</f>
        <v>1.0298875897727533</v>
      </c>
      <c r="P15">
        <f>((3*PI()*750*250) * MajorB * MinorB* ((MajorB^2)*(COS(Theta)^2) + (MinorB^2)*(SIN(Theta)^2)))</f>
        <v>127623824342.58095</v>
      </c>
      <c r="Q15">
        <f>(((4 *0*250* (1^3)) + 3 *750*1*((MajorB^2)*(COS(Theta)^2) + (MinorB^2)*(SIN(Theta)^2))))</f>
        <v>602013.04263467737</v>
      </c>
      <c r="R15">
        <f>kn*kd</f>
        <v>7.6831206805150768E+16</v>
      </c>
      <c r="S15">
        <f>k*Displacement</f>
        <v>5.3865306500944608E+16</v>
      </c>
      <c r="T15">
        <v>4</v>
      </c>
      <c r="U15">
        <v>125.89500000000004</v>
      </c>
      <c r="V15">
        <v>85.641000000000005</v>
      </c>
    </row>
    <row r="16" spans="1:22" x14ac:dyDescent="0.25">
      <c r="A16" s="1">
        <v>0.59305555555555556</v>
      </c>
      <c r="B16">
        <v>182</v>
      </c>
      <c r="C16">
        <v>96.72</v>
      </c>
      <c r="D16">
        <v>19.808</v>
      </c>
      <c r="E16">
        <f>XB + (XT - XB) *3</f>
        <v>97.26400000000001</v>
      </c>
      <c r="F16">
        <f>YB + (YT - YB) *3</f>
        <v>21.485999999999997</v>
      </c>
      <c r="G16">
        <v>15.51</v>
      </c>
      <c r="H16">
        <v>14.94</v>
      </c>
      <c r="I16">
        <v>211</v>
      </c>
      <c r="J16">
        <v>96.447999999999993</v>
      </c>
      <c r="K16">
        <v>18.969000000000001</v>
      </c>
      <c r="L16">
        <v>16.634</v>
      </c>
      <c r="M16">
        <v>16.151</v>
      </c>
      <c r="N16">
        <f>SQRT((XT - XB)^2 + (YT - YB)^2)</f>
        <v>0.88198922895917542</v>
      </c>
      <c r="O16">
        <f>ATAN((YT - YB) / (XT - XB))</f>
        <v>1.257292268858714</v>
      </c>
      <c r="P16">
        <f>((3*PI()*750*250) * MajorB * MinorB* ((MajorB^2)*(COS(Theta)^2) + (MinorB^2)*(SIN(Theta)^2)))</f>
        <v>124556819797.44403</v>
      </c>
      <c r="Q16">
        <f>(((4 *0*250* (1^3)) + 3 *750*1*((MajorB^2)*(COS(Theta)^2) + (MinorB^2)*(SIN(Theta)^2))))</f>
        <v>590311.86928828899</v>
      </c>
      <c r="R16">
        <f>kn*kd</f>
        <v>7.3527369127233744E+16</v>
      </c>
      <c r="S16">
        <f>k*Displacement</f>
        <v>6.4850347603925568E+16</v>
      </c>
      <c r="T16">
        <v>4</v>
      </c>
    </row>
    <row r="17" spans="5:22" x14ac:dyDescent="0.25">
      <c r="E17">
        <f>XB + (XT - XB) *3</f>
        <v>0</v>
      </c>
      <c r="F17">
        <f>YB + (YT - YB) *3</f>
        <v>0</v>
      </c>
      <c r="N17">
        <f>SQRT((XT - XB)^2 + (YT - YB)^2)</f>
        <v>0</v>
      </c>
      <c r="O17" t="e">
        <f>ATAN((YT - YB) / (XT - XB))</f>
        <v>#DIV/0!</v>
      </c>
      <c r="P17" t="e">
        <f>((3*PI()*750*250) * MajorB * MinorB* ((MajorB^2)*(COS(Theta)^2) + (MinorB^2)*(SIN(Theta)^2)))</f>
        <v>#DIV/0!</v>
      </c>
      <c r="Q17" t="e">
        <f>(((4 *0*250* (1^3)) + 3 *750*1*((MajorB^2)*(COS(Theta)^2) + (MinorB^2)*(SIN(Theta)^2))))</f>
        <v>#DIV/0!</v>
      </c>
      <c r="R17" t="e">
        <f>kn*kd</f>
        <v>#DIV/0!</v>
      </c>
      <c r="S17" t="e">
        <f>k*Displacement</f>
        <v>#DIV/0!</v>
      </c>
      <c r="T17">
        <v>5</v>
      </c>
      <c r="U17">
        <v>90.516999999999996</v>
      </c>
      <c r="V17">
        <v>76.421999999999997</v>
      </c>
    </row>
    <row r="18" spans="5:22" x14ac:dyDescent="0.25">
      <c r="E18">
        <f>XB + (XT - XB) *3</f>
        <v>0</v>
      </c>
      <c r="F18">
        <f>YB + (YT - YB) *3</f>
        <v>0</v>
      </c>
      <c r="N18">
        <f>SQRT((XT - XB)^2 + (YT - YB)^2)</f>
        <v>0</v>
      </c>
      <c r="O18" t="e">
        <f>ATAN((YT - YB) / (XT - XB))</f>
        <v>#DIV/0!</v>
      </c>
      <c r="P18" t="e">
        <f>((3*PI()*750*250) * MajorB * MinorB* ((MajorB^2)*(COS(Theta)^2) + (MinorB^2)*(SIN(Theta)^2)))</f>
        <v>#DIV/0!</v>
      </c>
      <c r="Q18" t="e">
        <f>(((4 *0*250* (1^3)) + 3 *750*1*((MajorB^2)*(COS(Theta)^2) + (MinorB^2)*(SIN(Theta)^2))))</f>
        <v>#DIV/0!</v>
      </c>
      <c r="R18" t="e">
        <f>kn*kd</f>
        <v>#DIV/0!</v>
      </c>
      <c r="S18" t="e">
        <f>k*Displacement</f>
        <v>#DIV/0!</v>
      </c>
      <c r="T18">
        <v>5</v>
      </c>
      <c r="U18">
        <v>80.724999999999994</v>
      </c>
      <c r="V18">
        <v>85.265999999999991</v>
      </c>
    </row>
    <row r="19" spans="5:22" x14ac:dyDescent="0.25">
      <c r="T19">
        <v>5</v>
      </c>
    </row>
    <row r="20" spans="5:22" x14ac:dyDescent="0.25">
      <c r="T20">
        <v>6</v>
      </c>
      <c r="U20">
        <v>60.994</v>
      </c>
      <c r="V20">
        <v>71.043999999999997</v>
      </c>
    </row>
    <row r="21" spans="5:22" x14ac:dyDescent="0.25">
      <c r="T21">
        <v>6</v>
      </c>
      <c r="U21">
        <v>56.290000000000006</v>
      </c>
      <c r="V21">
        <v>72.483999999999995</v>
      </c>
    </row>
    <row r="22" spans="5:22" x14ac:dyDescent="0.25">
      <c r="T22">
        <v>6</v>
      </c>
    </row>
    <row r="23" spans="5:22" x14ac:dyDescent="0.25">
      <c r="T23">
        <v>7</v>
      </c>
      <c r="U23">
        <v>33.520000000000003</v>
      </c>
      <c r="V23">
        <v>70.31</v>
      </c>
    </row>
    <row r="24" spans="5:22" x14ac:dyDescent="0.25">
      <c r="T24">
        <v>7</v>
      </c>
      <c r="U24">
        <v>38.296000000000006</v>
      </c>
      <c r="V24">
        <v>71.087999999999994</v>
      </c>
    </row>
    <row r="25" spans="5:22" x14ac:dyDescent="0.25">
      <c r="T25">
        <v>7</v>
      </c>
    </row>
    <row r="26" spans="5:22" x14ac:dyDescent="0.25">
      <c r="T26">
        <v>8</v>
      </c>
      <c r="U26">
        <v>73.210999999999999</v>
      </c>
      <c r="V26">
        <v>52.963999999999999</v>
      </c>
    </row>
    <row r="27" spans="5:22" x14ac:dyDescent="0.25">
      <c r="T27">
        <v>8</v>
      </c>
      <c r="U27">
        <v>61.632999999999996</v>
      </c>
      <c r="V27">
        <v>66.465999999999994</v>
      </c>
    </row>
    <row r="28" spans="5:22" x14ac:dyDescent="0.25">
      <c r="T28">
        <v>8</v>
      </c>
    </row>
    <row r="29" spans="5:22" x14ac:dyDescent="0.25">
      <c r="T29">
        <v>9</v>
      </c>
      <c r="U29">
        <v>48.676000000000002</v>
      </c>
      <c r="V29">
        <v>47.031999999999996</v>
      </c>
    </row>
    <row r="30" spans="5:22" x14ac:dyDescent="0.25">
      <c r="T30">
        <v>9</v>
      </c>
      <c r="U30">
        <v>49.86</v>
      </c>
      <c r="V30">
        <v>52.493999999999986</v>
      </c>
    </row>
    <row r="31" spans="5:22" x14ac:dyDescent="0.25">
      <c r="T31">
        <v>9</v>
      </c>
    </row>
    <row r="32" spans="5:22" x14ac:dyDescent="0.25">
      <c r="T32">
        <v>10</v>
      </c>
      <c r="U32">
        <v>21.873999999999999</v>
      </c>
      <c r="V32">
        <v>46.670999999999999</v>
      </c>
    </row>
    <row r="33" spans="20:22" x14ac:dyDescent="0.25">
      <c r="T33">
        <v>10</v>
      </c>
      <c r="U33">
        <v>33.60799999999999</v>
      </c>
      <c r="V33">
        <v>53.134999999999998</v>
      </c>
    </row>
    <row r="34" spans="20:22" x14ac:dyDescent="0.25">
      <c r="T34">
        <v>10</v>
      </c>
    </row>
    <row r="35" spans="20:22" x14ac:dyDescent="0.25">
      <c r="T35">
        <v>11</v>
      </c>
      <c r="U35">
        <v>112.55500000000001</v>
      </c>
      <c r="V35">
        <v>46.555</v>
      </c>
    </row>
    <row r="36" spans="20:22" x14ac:dyDescent="0.25">
      <c r="T36">
        <v>11</v>
      </c>
      <c r="U36">
        <v>113.11700000000002</v>
      </c>
      <c r="V36">
        <v>47.982999999999997</v>
      </c>
    </row>
    <row r="37" spans="20:22" x14ac:dyDescent="0.25">
      <c r="T37">
        <v>11</v>
      </c>
    </row>
    <row r="38" spans="20:22" x14ac:dyDescent="0.25">
      <c r="T38">
        <v>12</v>
      </c>
      <c r="U38">
        <v>33.124000000000002</v>
      </c>
      <c r="V38">
        <v>24.206</v>
      </c>
    </row>
    <row r="39" spans="20:22" x14ac:dyDescent="0.25">
      <c r="T39">
        <v>12</v>
      </c>
      <c r="U39">
        <v>35.298000000000009</v>
      </c>
      <c r="V39">
        <v>36.378</v>
      </c>
    </row>
    <row r="40" spans="20:22" x14ac:dyDescent="0.25">
      <c r="T40">
        <v>12</v>
      </c>
    </row>
    <row r="41" spans="20:22" x14ac:dyDescent="0.25">
      <c r="T41">
        <v>13</v>
      </c>
      <c r="U41">
        <v>129.309</v>
      </c>
      <c r="V41">
        <v>20.62</v>
      </c>
    </row>
    <row r="42" spans="20:22" x14ac:dyDescent="0.25">
      <c r="T42">
        <v>13</v>
      </c>
      <c r="U42">
        <v>130.03099999999998</v>
      </c>
      <c r="V42">
        <v>21.822000000000006</v>
      </c>
    </row>
    <row r="43" spans="20:22" x14ac:dyDescent="0.25">
      <c r="T43">
        <v>13</v>
      </c>
    </row>
    <row r="44" spans="20:22" x14ac:dyDescent="0.25">
      <c r="T44">
        <v>14</v>
      </c>
      <c r="U44">
        <v>96.72</v>
      </c>
      <c r="V44">
        <v>19.808</v>
      </c>
    </row>
    <row r="45" spans="20:22" x14ac:dyDescent="0.25">
      <c r="T45">
        <v>14</v>
      </c>
      <c r="U45">
        <v>97.26400000000001</v>
      </c>
      <c r="V45">
        <v>21.485999999999997</v>
      </c>
    </row>
    <row r="46" spans="20:22" x14ac:dyDescent="0.25">
      <c r="T46">
        <v>14</v>
      </c>
    </row>
  </sheetData>
  <sortState ref="T2:V46">
    <sortCondition ref="T2:T46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7"/>
  <sheetViews>
    <sheetView workbookViewId="0">
      <selection sqref="A1:I1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2</v>
      </c>
      <c r="B2">
        <v>255</v>
      </c>
      <c r="C2">
        <v>255</v>
      </c>
      <c r="D2">
        <v>255</v>
      </c>
      <c r="E2">
        <v>111.916</v>
      </c>
      <c r="F2">
        <v>96.81</v>
      </c>
      <c r="G2">
        <v>18.864000000000001</v>
      </c>
      <c r="H2">
        <v>17.212</v>
      </c>
      <c r="I2">
        <v>51.279000000000003</v>
      </c>
    </row>
    <row r="3" spans="1:9" x14ac:dyDescent="0.25">
      <c r="A3">
        <v>1</v>
      </c>
      <c r="B3">
        <v>255</v>
      </c>
      <c r="C3">
        <v>255</v>
      </c>
      <c r="D3">
        <v>255</v>
      </c>
      <c r="E3">
        <v>79.908000000000001</v>
      </c>
      <c r="F3">
        <v>96.155000000000001</v>
      </c>
      <c r="G3">
        <v>19.28</v>
      </c>
      <c r="H3">
        <v>16.84</v>
      </c>
      <c r="I3">
        <v>63.286000000000001</v>
      </c>
    </row>
    <row r="4" spans="1:9" x14ac:dyDescent="0.25">
      <c r="A4">
        <v>4</v>
      </c>
      <c r="B4">
        <v>248</v>
      </c>
      <c r="C4">
        <v>255</v>
      </c>
      <c r="D4">
        <v>255</v>
      </c>
      <c r="E4">
        <v>47.335000000000001</v>
      </c>
      <c r="F4">
        <v>95.894999999999996</v>
      </c>
      <c r="G4">
        <v>17.911999999999999</v>
      </c>
      <c r="H4">
        <v>17.629000000000001</v>
      </c>
      <c r="I4">
        <v>11.646000000000001</v>
      </c>
    </row>
    <row r="5" spans="1:9" x14ac:dyDescent="0.25">
      <c r="A5">
        <v>3</v>
      </c>
      <c r="B5">
        <v>215</v>
      </c>
      <c r="C5">
        <v>255</v>
      </c>
      <c r="D5">
        <v>255</v>
      </c>
      <c r="E5">
        <v>14.849</v>
      </c>
      <c r="F5">
        <v>95.718999999999994</v>
      </c>
      <c r="G5">
        <v>17.283000000000001</v>
      </c>
      <c r="H5">
        <v>15.839</v>
      </c>
      <c r="I5">
        <v>27.277999999999999</v>
      </c>
    </row>
    <row r="6" spans="1:9" x14ac:dyDescent="0.25">
      <c r="A6">
        <v>5</v>
      </c>
      <c r="B6">
        <v>241</v>
      </c>
      <c r="C6">
        <v>255</v>
      </c>
      <c r="D6">
        <v>255</v>
      </c>
      <c r="E6">
        <v>128.36699999999999</v>
      </c>
      <c r="F6">
        <v>73.284000000000006</v>
      </c>
      <c r="G6">
        <v>18.34</v>
      </c>
      <c r="H6">
        <v>16.731000000000002</v>
      </c>
      <c r="I6">
        <v>106.432</v>
      </c>
    </row>
    <row r="7" spans="1:9" x14ac:dyDescent="0.25">
      <c r="A7">
        <v>6</v>
      </c>
      <c r="B7">
        <v>242</v>
      </c>
      <c r="C7">
        <v>255</v>
      </c>
      <c r="D7">
        <v>255</v>
      </c>
      <c r="E7">
        <v>95.412999999999997</v>
      </c>
      <c r="F7">
        <v>72</v>
      </c>
      <c r="G7">
        <v>18.526</v>
      </c>
      <c r="H7">
        <v>16.632000000000001</v>
      </c>
      <c r="I7">
        <v>119.316</v>
      </c>
    </row>
    <row r="8" spans="1:9" x14ac:dyDescent="0.25">
      <c r="A8">
        <v>8</v>
      </c>
      <c r="B8">
        <v>221</v>
      </c>
      <c r="C8">
        <v>255</v>
      </c>
      <c r="D8">
        <v>255</v>
      </c>
      <c r="E8">
        <v>63.345999999999997</v>
      </c>
      <c r="F8">
        <v>70.323999999999998</v>
      </c>
      <c r="G8">
        <v>17.289000000000001</v>
      </c>
      <c r="H8">
        <v>16.276</v>
      </c>
      <c r="I8">
        <v>179.27600000000001</v>
      </c>
    </row>
    <row r="9" spans="1:9" x14ac:dyDescent="0.25">
      <c r="A9">
        <v>7</v>
      </c>
      <c r="B9">
        <v>247</v>
      </c>
      <c r="C9">
        <v>255</v>
      </c>
      <c r="D9">
        <v>255</v>
      </c>
      <c r="E9">
        <v>31.132000000000001</v>
      </c>
      <c r="F9">
        <v>69.921000000000006</v>
      </c>
      <c r="G9">
        <v>18.382000000000001</v>
      </c>
      <c r="H9">
        <v>17.109000000000002</v>
      </c>
      <c r="I9">
        <v>74.009</v>
      </c>
    </row>
    <row r="10" spans="1:9" x14ac:dyDescent="0.25">
      <c r="A10">
        <v>9</v>
      </c>
      <c r="B10">
        <v>282</v>
      </c>
      <c r="C10">
        <v>255</v>
      </c>
      <c r="D10">
        <v>255</v>
      </c>
      <c r="E10">
        <v>79</v>
      </c>
      <c r="F10">
        <v>46.213000000000001</v>
      </c>
      <c r="G10">
        <v>20.774000000000001</v>
      </c>
      <c r="H10">
        <v>17.283999999999999</v>
      </c>
      <c r="I10">
        <v>132.25399999999999</v>
      </c>
    </row>
    <row r="11" spans="1:9" x14ac:dyDescent="0.25">
      <c r="A11">
        <v>10</v>
      </c>
      <c r="B11">
        <v>217</v>
      </c>
      <c r="C11">
        <v>255</v>
      </c>
      <c r="D11">
        <v>255</v>
      </c>
      <c r="E11">
        <v>112.274</v>
      </c>
      <c r="F11">
        <v>45.841000000000001</v>
      </c>
      <c r="G11">
        <v>16.96</v>
      </c>
      <c r="H11">
        <v>16.29</v>
      </c>
      <c r="I11">
        <v>157.006</v>
      </c>
    </row>
    <row r="12" spans="1:9" x14ac:dyDescent="0.25">
      <c r="A12">
        <v>11</v>
      </c>
      <c r="B12">
        <v>221</v>
      </c>
      <c r="C12">
        <v>255</v>
      </c>
      <c r="D12">
        <v>255</v>
      </c>
      <c r="E12">
        <v>48.084000000000003</v>
      </c>
      <c r="F12">
        <v>44.301000000000002</v>
      </c>
      <c r="G12">
        <v>17.07</v>
      </c>
      <c r="H12">
        <v>16.484999999999999</v>
      </c>
      <c r="I12">
        <v>127.179</v>
      </c>
    </row>
    <row r="13" spans="1:9" x14ac:dyDescent="0.25">
      <c r="A13">
        <v>12</v>
      </c>
      <c r="B13">
        <v>229</v>
      </c>
      <c r="C13">
        <v>255</v>
      </c>
      <c r="D13">
        <v>255</v>
      </c>
      <c r="E13">
        <v>16.007000000000001</v>
      </c>
      <c r="F13">
        <v>43.439</v>
      </c>
      <c r="G13">
        <v>17.754999999999999</v>
      </c>
      <c r="H13">
        <v>16.422000000000001</v>
      </c>
      <c r="I13">
        <v>112.62</v>
      </c>
    </row>
    <row r="14" spans="1:9" x14ac:dyDescent="0.25">
      <c r="A14">
        <v>13</v>
      </c>
      <c r="B14">
        <v>212</v>
      </c>
      <c r="C14">
        <v>255</v>
      </c>
      <c r="D14">
        <v>255</v>
      </c>
      <c r="E14">
        <v>128.94800000000001</v>
      </c>
      <c r="F14">
        <v>20.018999999999998</v>
      </c>
      <c r="G14">
        <v>16.585999999999999</v>
      </c>
      <c r="H14">
        <v>16.274000000000001</v>
      </c>
      <c r="I14">
        <v>154.959</v>
      </c>
    </row>
    <row r="15" spans="1:9" x14ac:dyDescent="0.25">
      <c r="A15">
        <v>15</v>
      </c>
      <c r="B15">
        <v>211</v>
      </c>
      <c r="C15">
        <v>255</v>
      </c>
      <c r="D15">
        <v>255</v>
      </c>
      <c r="E15">
        <v>96.447999999999993</v>
      </c>
      <c r="F15">
        <v>18.969000000000001</v>
      </c>
      <c r="G15">
        <v>16.634</v>
      </c>
      <c r="H15">
        <v>16.151</v>
      </c>
      <c r="I15">
        <v>147.56100000000001</v>
      </c>
    </row>
    <row r="16" spans="1:9" x14ac:dyDescent="0.25">
      <c r="A16">
        <v>14</v>
      </c>
      <c r="B16">
        <v>211</v>
      </c>
      <c r="C16">
        <v>255</v>
      </c>
      <c r="D16">
        <v>255</v>
      </c>
      <c r="E16">
        <v>64.328999999999994</v>
      </c>
      <c r="F16">
        <v>18.452999999999999</v>
      </c>
      <c r="G16">
        <v>16.591000000000001</v>
      </c>
      <c r="H16">
        <v>16.192</v>
      </c>
      <c r="I16">
        <v>59.369</v>
      </c>
    </row>
    <row r="17" spans="1:9" x14ac:dyDescent="0.25">
      <c r="A17">
        <v>16</v>
      </c>
      <c r="B17">
        <v>216</v>
      </c>
      <c r="C17">
        <v>255</v>
      </c>
      <c r="D17">
        <v>255</v>
      </c>
      <c r="E17">
        <v>32.036999999999999</v>
      </c>
      <c r="F17">
        <v>18.12</v>
      </c>
      <c r="G17">
        <v>16.678999999999998</v>
      </c>
      <c r="H17">
        <v>16.489000000000001</v>
      </c>
      <c r="I17">
        <v>100.98099999999999</v>
      </c>
    </row>
  </sheetData>
  <sortState ref="A1:I17">
    <sortCondition descending="1" ref="F2:F17"/>
  </sortState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top</vt:lpstr>
      <vt:lpstr>result</vt:lpstr>
      <vt:lpstr>base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2013-02-27T03:12:18Z</dcterms:modified>
</cp:coreProperties>
</file>